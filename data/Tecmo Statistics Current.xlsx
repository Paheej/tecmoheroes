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documenttasks+xml" PartName="/xl/documenttasks/documenttask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ms-excel.threadedcomments+xml" PartName="/xl/threadedComments/threadedComment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 (Non Solo)" sheetId="1" r:id="rId4"/>
    <sheet state="visible" name="Passing" sheetId="2" r:id="rId5"/>
    <sheet state="visible" name="Receiving" sheetId="3" r:id="rId6"/>
    <sheet state="visible" name="Rushing" sheetId="4" r:id="rId7"/>
    <sheet state="visible" name="Scoring" sheetId="5" r:id="rId8"/>
    <sheet state="visible" name="Punt Return" sheetId="6" r:id="rId9"/>
    <sheet state="visible" name="Kick Return" sheetId="7" r:id="rId10"/>
    <sheet state="visible" name="Punt" sheetId="8" r:id="rId11"/>
    <sheet state="visible" name="Defense" sheetId="9" r:id="rId12"/>
    <sheet state="visible" name="Team" sheetId="10" r:id="rId13"/>
    <sheet state="visible" name="MVPs" sheetId="11" r:id="rId14"/>
    <sheet state="visible" name="Superbowls" sheetId="12" r:id="rId15"/>
    <sheet state="visible" name="Nicknames" sheetId="13" r:id="rId16"/>
  </sheets>
  <definedNames>
    <definedName hidden="1" localSheetId="1" name="_xlnm._FilterDatabase">Passing!$A$2:$P$68</definedName>
    <definedName hidden="1" localSheetId="2" name="_xlnm._FilterDatabase">Receiving!$A$2:$L$163</definedName>
    <definedName hidden="1" localSheetId="3" name="_xlnm._FilterDatabase">Rushing!$A$2:$L$72</definedName>
    <definedName hidden="1" localSheetId="4" name="_xlnm._FilterDatabase">Scoring!$A$2:$I$103</definedName>
    <definedName hidden="1" localSheetId="5" name="_xlnm._FilterDatabase">'Punt Return'!$A$2:$L$43</definedName>
    <definedName hidden="1" localSheetId="6" name="_xlnm._FilterDatabase">'Kick Return'!$A$2:$L$45</definedName>
    <definedName hidden="1" localSheetId="7" name="_xlnm._FilterDatabase">Punt!$A$2:$K$50</definedName>
    <definedName hidden="1" localSheetId="8" name="_xlnm._FilterDatabase">Defense!$A$2:$J$112</definedName>
    <definedName hidden="1" localSheetId="9" name="_xlnm._FilterDatabase">Team!$A$2:$U$74</definedName>
    <definedName hidden="1" localSheetId="10" name="_xlnm._FilterDatabase">MVPs!$A$2:$J$57</definedName>
    <definedName hidden="1" localSheetId="11" name="_xlnm._FilterDatabase">Superbowls!$A$2:$M$23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tc={d9ce0d3b-f403-4d8e-9224-bffc92290f84}</author>
  </authors>
  <commentList>
    <comment authorId="0" xr:uid="{d9ce0d3b-f403-4d8e-9224-bffc92290f84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Did not notice cap.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tc={1bd92709-0fe2-4fe7-9e2c-414e1328a48f}</author>
    <author>tc={dfd28689-7bfe-4fc2-abe4-88647022010a}</author>
  </authors>
  <commentList>
    <comment authorId="0" xr:uid="{1bd92709-0fe2-4fe7-9e2c-414e1328a48f}" ref="I1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Reached cap and additional TD not recorded.
</t>
      </text>
    </comment>
    <comment authorId="1" xr:uid="{dfd28689-7bfe-4fc2-abe4-88647022010a}" ref="I3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Manually Calculated by all receiving TDs minus Cody Carlson.
</t>
      </text>
    </comment>
  </commentList>
</comments>
</file>

<file path=xl/sharedStrings.xml><?xml version="1.0" encoding="utf-8"?>
<sst xmlns="http://schemas.openxmlformats.org/spreadsheetml/2006/main" count="4715" uniqueCount="725">
  <si>
    <t>TECMO PASSING RECORDS</t>
  </si>
  <si>
    <t>TECMO PASSING STATISTICS</t>
  </si>
  <si>
    <t>TECMO RUSHING STATISTICS</t>
  </si>
  <si>
    <t>POS</t>
  </si>
  <si>
    <t>Last Name</t>
  </si>
  <si>
    <t>First Name</t>
  </si>
  <si>
    <t>ATT</t>
  </si>
  <si>
    <t>COMPS</t>
  </si>
  <si>
    <t>COMP %</t>
  </si>
  <si>
    <t>YDS</t>
  </si>
  <si>
    <t>AVG YDS</t>
  </si>
  <si>
    <t>TECMO RECEIVING STATISTICS</t>
  </si>
  <si>
    <t>TD</t>
  </si>
  <si>
    <t>INT</t>
  </si>
  <si>
    <t>Most Attempts</t>
  </si>
  <si>
    <t>RATING</t>
  </si>
  <si>
    <t>Team</t>
  </si>
  <si>
    <t>User</t>
  </si>
  <si>
    <t>Season</t>
  </si>
  <si>
    <t>Year</t>
  </si>
  <si>
    <t>Solo</t>
  </si>
  <si>
    <t>QB</t>
  </si>
  <si>
    <t>RB</t>
  </si>
  <si>
    <t>Marino</t>
  </si>
  <si>
    <t>Jackson</t>
  </si>
  <si>
    <t>Dan</t>
  </si>
  <si>
    <t>Bo</t>
  </si>
  <si>
    <t>REC</t>
  </si>
  <si>
    <t>TDs</t>
  </si>
  <si>
    <t>MIA</t>
  </si>
  <si>
    <t>PJ</t>
  </si>
  <si>
    <t>WR</t>
  </si>
  <si>
    <t>Duper</t>
  </si>
  <si>
    <t>Mark</t>
  </si>
  <si>
    <t>RAI</t>
  </si>
  <si>
    <t>MA</t>
  </si>
  <si>
    <t>No</t>
  </si>
  <si>
    <t>Smith</t>
  </si>
  <si>
    <t>Emmitt</t>
  </si>
  <si>
    <t>Schroeder</t>
  </si>
  <si>
    <t>Jay</t>
  </si>
  <si>
    <t>DAL</t>
  </si>
  <si>
    <t>WB</t>
  </si>
  <si>
    <t>Allen</t>
  </si>
  <si>
    <t>Marcus</t>
  </si>
  <si>
    <t>Peete</t>
  </si>
  <si>
    <t>Rodney</t>
  </si>
  <si>
    <t>DET</t>
  </si>
  <si>
    <t>Sanders</t>
  </si>
  <si>
    <t>Barry</t>
  </si>
  <si>
    <t>Paige</t>
  </si>
  <si>
    <t>Tony</t>
  </si>
  <si>
    <t>Moon</t>
  </si>
  <si>
    <t>Warren</t>
  </si>
  <si>
    <t>HOU</t>
  </si>
  <si>
    <t>Okoye</t>
  </si>
  <si>
    <t>Christian</t>
  </si>
  <si>
    <t>KC</t>
  </si>
  <si>
    <t>Everett</t>
  </si>
  <si>
    <t>Jim</t>
  </si>
  <si>
    <t>RAM</t>
  </si>
  <si>
    <t>Eagles</t>
  </si>
  <si>
    <t>PHI</t>
  </si>
  <si>
    <t>CR</t>
  </si>
  <si>
    <t>Most Completions</t>
  </si>
  <si>
    <t>TE</t>
  </si>
  <si>
    <t>Edmunds</t>
  </si>
  <si>
    <t>Ferrell</t>
  </si>
  <si>
    <t>Anderson</t>
  </si>
  <si>
    <t>Neal</t>
  </si>
  <si>
    <t>CHI</t>
  </si>
  <si>
    <t>CJ</t>
  </si>
  <si>
    <t>Givins</t>
  </si>
  <si>
    <t>Ernest</t>
  </si>
  <si>
    <t>Byner</t>
  </si>
  <si>
    <t>Earnest</t>
  </si>
  <si>
    <t>Testaverde</t>
  </si>
  <si>
    <t>Vinny</t>
  </si>
  <si>
    <t>WAS</t>
  </si>
  <si>
    <t>TB</t>
  </si>
  <si>
    <t>Bills</t>
  </si>
  <si>
    <t>BUF</t>
  </si>
  <si>
    <t>Gary</t>
  </si>
  <si>
    <t>Jeffries</t>
  </si>
  <si>
    <t>Haywood</t>
  </si>
  <si>
    <t>Simms</t>
  </si>
  <si>
    <t>Phil</t>
  </si>
  <si>
    <t>Butts</t>
  </si>
  <si>
    <t>Marion</t>
  </si>
  <si>
    <t>GIA</t>
  </si>
  <si>
    <t>SD</t>
  </si>
  <si>
    <t>Bentley</t>
  </si>
  <si>
    <t>Albert</t>
  </si>
  <si>
    <t>IND</t>
  </si>
  <si>
    <t>Holohan</t>
  </si>
  <si>
    <t>Pete</t>
  </si>
  <si>
    <t>Thomas</t>
  </si>
  <si>
    <t>Highest Completion %</t>
  </si>
  <si>
    <t>Blair</t>
  </si>
  <si>
    <t>Wilson</t>
  </si>
  <si>
    <t>Marc</t>
  </si>
  <si>
    <t>JET</t>
  </si>
  <si>
    <t>NE</t>
  </si>
  <si>
    <t>Ellard</t>
  </si>
  <si>
    <t>Henry</t>
  </si>
  <si>
    <t>Heyward</t>
  </si>
  <si>
    <t>Craig</t>
  </si>
  <si>
    <t>NO</t>
  </si>
  <si>
    <t>Brooks</t>
  </si>
  <si>
    <t>James</t>
  </si>
  <si>
    <t>Keith</t>
  </si>
  <si>
    <t>Krieg</t>
  </si>
  <si>
    <t>CIN</t>
  </si>
  <si>
    <t>Dave</t>
  </si>
  <si>
    <t>SEA</t>
  </si>
  <si>
    <t>Carrier</t>
  </si>
  <si>
    <t>Hoge</t>
  </si>
  <si>
    <t>Merril</t>
  </si>
  <si>
    <t>Humphrey</t>
  </si>
  <si>
    <t>Bobby</t>
  </si>
  <si>
    <t>Rypien</t>
  </si>
  <si>
    <t>DEN</t>
  </si>
  <si>
    <t>Most Passing Yards</t>
  </si>
  <si>
    <t>Browns</t>
  </si>
  <si>
    <t>CLE</t>
  </si>
  <si>
    <t>Walsh</t>
  </si>
  <si>
    <t>Steve</t>
  </si>
  <si>
    <t>Cobb</t>
  </si>
  <si>
    <t>Reggie</t>
  </si>
  <si>
    <t>Miller</t>
  </si>
  <si>
    <t>Chris</t>
  </si>
  <si>
    <t>ATL</t>
  </si>
  <si>
    <t>Ken</t>
  </si>
  <si>
    <t>OBrien</t>
  </si>
  <si>
    <t>Hall</t>
  </si>
  <si>
    <t>Ron</t>
  </si>
  <si>
    <t>Hilliard</t>
  </si>
  <si>
    <t>Dalton</t>
  </si>
  <si>
    <t>Jeff</t>
  </si>
  <si>
    <t>George</t>
  </si>
  <si>
    <t>Highest Yards Per Attempt</t>
  </si>
  <si>
    <t>Reed</t>
  </si>
  <si>
    <t>Andre</t>
  </si>
  <si>
    <t>Tom</t>
  </si>
  <si>
    <t>Tupa</t>
  </si>
  <si>
    <t>PHX</t>
  </si>
  <si>
    <t>BJ</t>
  </si>
  <si>
    <t>Tolliver</t>
  </si>
  <si>
    <t>Ingram</t>
  </si>
  <si>
    <t>Baker</t>
  </si>
  <si>
    <t>Stephen</t>
  </si>
  <si>
    <t>Gray</t>
  </si>
  <si>
    <t>Mel</t>
  </si>
  <si>
    <t>Megget</t>
  </si>
  <si>
    <t>Montana</t>
  </si>
  <si>
    <t>Joe</t>
  </si>
  <si>
    <t>SF</t>
  </si>
  <si>
    <t>Esiason</t>
  </si>
  <si>
    <t>Boomer</t>
  </si>
  <si>
    <t>Hill</t>
  </si>
  <si>
    <t>Drew</t>
  </si>
  <si>
    <t>PIT</t>
  </si>
  <si>
    <t>Most Passing Touchdowns</t>
  </si>
  <si>
    <t>Cook</t>
  </si>
  <si>
    <t>Marv</t>
  </si>
  <si>
    <t>Thurman</t>
  </si>
  <si>
    <t>Stephens</t>
  </si>
  <si>
    <t>John</t>
  </si>
  <si>
    <t>De Berg</t>
  </si>
  <si>
    <t>O.Brien</t>
  </si>
  <si>
    <t>McNeil</t>
  </si>
  <si>
    <t>Fryar</t>
  </si>
  <si>
    <t>Freeman</t>
  </si>
  <si>
    <t>Irving</t>
  </si>
  <si>
    <t>Ottis</t>
  </si>
  <si>
    <t>BF</t>
  </si>
  <si>
    <t>Meggett</t>
  </si>
  <si>
    <t>David</t>
  </si>
  <si>
    <t>Johnson</t>
  </si>
  <si>
    <t>Johnny</t>
  </si>
  <si>
    <t>Sikahema</t>
  </si>
  <si>
    <t>Vai</t>
  </si>
  <si>
    <t>Blades</t>
  </si>
  <si>
    <t>Brian</t>
  </si>
  <si>
    <t>Sammie</t>
  </si>
  <si>
    <t>Aikman</t>
  </si>
  <si>
    <t>Troy</t>
  </si>
  <si>
    <t>MAE</t>
  </si>
  <si>
    <t>FB</t>
  </si>
  <si>
    <t>Fenner</t>
  </si>
  <si>
    <t>Fred</t>
  </si>
  <si>
    <t>Brister</t>
  </si>
  <si>
    <t>Mueller</t>
  </si>
  <si>
    <t>Bubby</t>
  </si>
  <si>
    <t>Jamie</t>
  </si>
  <si>
    <t>Beebe</t>
  </si>
  <si>
    <t>Don</t>
  </si>
  <si>
    <t>Elway</t>
  </si>
  <si>
    <t>Fewest Interceptions</t>
  </si>
  <si>
    <t>Rison</t>
  </si>
  <si>
    <t>Cleveland</t>
  </si>
  <si>
    <t>Warner</t>
  </si>
  <si>
    <t>Curt</t>
  </si>
  <si>
    <t>Newsome</t>
  </si>
  <si>
    <t>Ozzie</t>
  </si>
  <si>
    <t>AD</t>
  </si>
  <si>
    <t>De berg</t>
  </si>
  <si>
    <t>Slaughter</t>
  </si>
  <si>
    <t>W</t>
  </si>
  <si>
    <t>Fourcade</t>
  </si>
  <si>
    <t>Byars</t>
  </si>
  <si>
    <t>Sherman</t>
  </si>
  <si>
    <t>Heath</t>
  </si>
  <si>
    <t>Highest QB Rating</t>
  </si>
  <si>
    <t>Harbaugh</t>
  </si>
  <si>
    <t>Rickey</t>
  </si>
  <si>
    <t>Martin</t>
  </si>
  <si>
    <t>Eric</t>
  </si>
  <si>
    <t>Grogan</t>
  </si>
  <si>
    <t>Monk</t>
  </si>
  <si>
    <t>Art</t>
  </si>
  <si>
    <t>Rosenbach</t>
  </si>
  <si>
    <t>Timm</t>
  </si>
  <si>
    <t>Mack</t>
  </si>
  <si>
    <t>TECMO RECEIVING RECORDS</t>
  </si>
  <si>
    <t>Mac</t>
  </si>
  <si>
    <t>Most Receptions</t>
  </si>
  <si>
    <t>Randall</t>
  </si>
  <si>
    <t>Jones</t>
  </si>
  <si>
    <t>Toon</t>
  </si>
  <si>
    <t>Al</t>
  </si>
  <si>
    <t>Proehl</t>
  </si>
  <si>
    <t>Ricky</t>
  </si>
  <si>
    <t>Most Receiving Yards</t>
  </si>
  <si>
    <t>Moore</t>
  </si>
  <si>
    <t>Rob</t>
  </si>
  <si>
    <t>Highest Average Yards Per Catch</t>
  </si>
  <si>
    <t>Rice</t>
  </si>
  <si>
    <t>Jerry</t>
  </si>
  <si>
    <t>McKeller</t>
  </si>
  <si>
    <t>Most Receiving Touchdowns</t>
  </si>
  <si>
    <t>Bavaro</t>
  </si>
  <si>
    <t>Brent</t>
  </si>
  <si>
    <t>TECMO SCORING STATISTICS</t>
  </si>
  <si>
    <t>POINTS</t>
  </si>
  <si>
    <t>TECMO RUSHING RECORDS</t>
  </si>
  <si>
    <t>Most Rushing Yards</t>
  </si>
  <si>
    <t>Holman</t>
  </si>
  <si>
    <t>Robb</t>
  </si>
  <si>
    <t>Clayton</t>
  </si>
  <si>
    <t>K</t>
  </si>
  <si>
    <t>Stoyanovich</t>
  </si>
  <si>
    <t>Highest Average Yards Per Rush</t>
  </si>
  <si>
    <t>Word</t>
  </si>
  <si>
    <t>Jefferies</t>
  </si>
  <si>
    <t>OAK</t>
  </si>
  <si>
    <t>Brenner</t>
  </si>
  <si>
    <t>Hoby</t>
  </si>
  <si>
    <t>TECMO PUNT RETURN STATISTICS</t>
  </si>
  <si>
    <t>PUNT RET</t>
  </si>
  <si>
    <t>AVG</t>
  </si>
  <si>
    <t>Most Rushing Touchdowns</t>
  </si>
  <si>
    <t>Bailey</t>
  </si>
  <si>
    <t>Christie</t>
  </si>
  <si>
    <t>Doug</t>
  </si>
  <si>
    <t>Drewrey</t>
  </si>
  <si>
    <t>Willie</t>
  </si>
  <si>
    <t>Stephone</t>
  </si>
  <si>
    <t>Bahr</t>
  </si>
  <si>
    <t>Matt</t>
  </si>
  <si>
    <t>Langhorne</t>
  </si>
  <si>
    <t>Fenerty</t>
  </si>
  <si>
    <t>Gil</t>
  </si>
  <si>
    <t>Kelvin</t>
  </si>
  <si>
    <t>TECMO SCORING RECORDS</t>
  </si>
  <si>
    <t>Howard</t>
  </si>
  <si>
    <t>Most Points Scored</t>
  </si>
  <si>
    <t>Lewis</t>
  </si>
  <si>
    <t>Nate</t>
  </si>
  <si>
    <t>Novacek</t>
  </si>
  <si>
    <t>Sikahemi</t>
  </si>
  <si>
    <t>Via</t>
  </si>
  <si>
    <t>Taylor</t>
  </si>
  <si>
    <t>Kay</t>
  </si>
  <si>
    <t>Clarence</t>
  </si>
  <si>
    <t>Kendal</t>
  </si>
  <si>
    <t>Mathis</t>
  </si>
  <si>
    <t>Terance</t>
  </si>
  <si>
    <t>TECMO SPECIAL TEAM AND DEFENSIVE RECORDS</t>
  </si>
  <si>
    <t>Most Punt Returns</t>
  </si>
  <si>
    <t>Graddy</t>
  </si>
  <si>
    <t>Sam</t>
  </si>
  <si>
    <t>Vance</t>
  </si>
  <si>
    <t>Brown</t>
  </si>
  <si>
    <t>Tim</t>
  </si>
  <si>
    <t>Irvin</t>
  </si>
  <si>
    <t>Michael</t>
  </si>
  <si>
    <t>Williams</t>
  </si>
  <si>
    <t>Calvin</t>
  </si>
  <si>
    <t>Metcalf</t>
  </si>
  <si>
    <t>Most Punt Return Yards</t>
  </si>
  <si>
    <t>Derek</t>
  </si>
  <si>
    <t>Edwards</t>
  </si>
  <si>
    <t>Hightest Punt Return Average</t>
  </si>
  <si>
    <t>Winder</t>
  </si>
  <si>
    <t>Sammy</t>
  </si>
  <si>
    <t>Jensen</t>
  </si>
  <si>
    <t>Young</t>
  </si>
  <si>
    <t>Barnett</t>
  </si>
  <si>
    <t>Toney</t>
  </si>
  <si>
    <t>Anthony</t>
  </si>
  <si>
    <t>Most Punt Return Touchdowns</t>
  </si>
  <si>
    <t>Highsmith</t>
  </si>
  <si>
    <t>Alonzo</t>
  </si>
  <si>
    <t>Leahy</t>
  </si>
  <si>
    <t>Most Kick Returns</t>
  </si>
  <si>
    <t>TECMO KICK RETURN STATISTICS</t>
  </si>
  <si>
    <t>Bell</t>
  </si>
  <si>
    <t>Greg</t>
  </si>
  <si>
    <t>KICK RET</t>
  </si>
  <si>
    <t>Fernandez</t>
  </si>
  <si>
    <t>Mervyn</t>
  </si>
  <si>
    <t>Jaeger</t>
  </si>
  <si>
    <t>Gault</t>
  </si>
  <si>
    <t>Broussard</t>
  </si>
  <si>
    <t>Horton</t>
  </si>
  <si>
    <t>Most Kick Return Yards</t>
  </si>
  <si>
    <t>Ethan</t>
  </si>
  <si>
    <t>Lowery</t>
  </si>
  <si>
    <t>Nick</t>
  </si>
  <si>
    <t>Verdin</t>
  </si>
  <si>
    <t>Quick</t>
  </si>
  <si>
    <t>Mike</t>
  </si>
  <si>
    <t>Jennings</t>
  </si>
  <si>
    <t>S</t>
  </si>
  <si>
    <t>Merrill</t>
  </si>
  <si>
    <t>Logan</t>
  </si>
  <si>
    <t>Stone</t>
  </si>
  <si>
    <t>Dwight</t>
  </si>
  <si>
    <t>Kenny</t>
  </si>
  <si>
    <t>Highest Kick Return Average</t>
  </si>
  <si>
    <t>Johnnie</t>
  </si>
  <si>
    <t>Norwood</t>
  </si>
  <si>
    <t>Scott</t>
  </si>
  <si>
    <t>Green</t>
  </si>
  <si>
    <t>Roy</t>
  </si>
  <si>
    <t>Dixon</t>
  </si>
  <si>
    <t>Floyd</t>
  </si>
  <si>
    <t>Lofton</t>
  </si>
  <si>
    <t>Derrick</t>
  </si>
  <si>
    <t>Davis</t>
  </si>
  <si>
    <t>Wendell</t>
  </si>
  <si>
    <t>Murray</t>
  </si>
  <si>
    <t>Eddie</t>
  </si>
  <si>
    <t>Most Kick Return Touchdowns</t>
  </si>
  <si>
    <t>Treadwell</t>
  </si>
  <si>
    <t>Morris</t>
  </si>
  <si>
    <t>Thornton</t>
  </si>
  <si>
    <t>Richard</t>
  </si>
  <si>
    <t>McGee</t>
  </si>
  <si>
    <t>Buford</t>
  </si>
  <si>
    <t>Gaston</t>
  </si>
  <si>
    <t>Most Punts</t>
  </si>
  <si>
    <t>Matthews</t>
  </si>
  <si>
    <t>Aubrey</t>
  </si>
  <si>
    <t>Mayes</t>
  </si>
  <si>
    <t>Rueben</t>
  </si>
  <si>
    <t>Mcgee</t>
  </si>
  <si>
    <t>Woods</t>
  </si>
  <si>
    <t>Most Punt Yards</t>
  </si>
  <si>
    <t>Ickey</t>
  </si>
  <si>
    <t>TECMO PUNT KICK STATISTICS</t>
  </si>
  <si>
    <t>P</t>
  </si>
  <si>
    <t>Landetta</t>
  </si>
  <si>
    <t>Shawn</t>
  </si>
  <si>
    <t>Donnelly</t>
  </si>
  <si>
    <t>Lipps</t>
  </si>
  <si>
    <t>Louis</t>
  </si>
  <si>
    <t>TECMO DEFENSIVE STATISTICS</t>
  </si>
  <si>
    <t>Fulhage</t>
  </si>
  <si>
    <t>SACKS</t>
  </si>
  <si>
    <t>Wagner</t>
  </si>
  <si>
    <t>Bryan</t>
  </si>
  <si>
    <t>LB</t>
  </si>
  <si>
    <t>Offerdahl</t>
  </si>
  <si>
    <t>Highest Punt Average</t>
  </si>
  <si>
    <t>Barnhardt</t>
  </si>
  <si>
    <t>Tommy</t>
  </si>
  <si>
    <t>DE</t>
  </si>
  <si>
    <t>Long</t>
  </si>
  <si>
    <t>Howie</t>
  </si>
  <si>
    <t>Royals</t>
  </si>
  <si>
    <t>Cofer</t>
  </si>
  <si>
    <t>Goodburn</t>
  </si>
  <si>
    <t>Kelly</t>
  </si>
  <si>
    <t>Fuller</t>
  </si>
  <si>
    <t>William</t>
  </si>
  <si>
    <t>Kidd</t>
  </si>
  <si>
    <t>Greene</t>
  </si>
  <si>
    <t>Kevin</t>
  </si>
  <si>
    <t>Camrillo</t>
  </si>
  <si>
    <t>Rich</t>
  </si>
  <si>
    <t>Stark</t>
  </si>
  <si>
    <t>Rohn</t>
  </si>
  <si>
    <t>Most Sacks</t>
  </si>
  <si>
    <t>Protop</t>
  </si>
  <si>
    <t>Landeta</t>
  </si>
  <si>
    <t>Sean</t>
  </si>
  <si>
    <t>CB</t>
  </si>
  <si>
    <t>Haddix</t>
  </si>
  <si>
    <t>Wayne</t>
  </si>
  <si>
    <t>Dykes</t>
  </si>
  <si>
    <t>Hart Lee</t>
  </si>
  <si>
    <t>Montgomery</t>
  </si>
  <si>
    <t>White</t>
  </si>
  <si>
    <t>Feagles</t>
  </si>
  <si>
    <t>Lawrence</t>
  </si>
  <si>
    <t>Reasons</t>
  </si>
  <si>
    <t>Gossett</t>
  </si>
  <si>
    <t>Bruce</t>
  </si>
  <si>
    <t>Most Interceptions</t>
  </si>
  <si>
    <t>Boyer</t>
  </si>
  <si>
    <t>SS</t>
  </si>
  <si>
    <t>Leonard</t>
  </si>
  <si>
    <t>Singletary</t>
  </si>
  <si>
    <t>Barker</t>
  </si>
  <si>
    <t>Pepper</t>
  </si>
  <si>
    <t>Roby</t>
  </si>
  <si>
    <t>Jacob</t>
  </si>
  <si>
    <t>Lee</t>
  </si>
  <si>
    <t>Horan</t>
  </si>
  <si>
    <t>Mayhew</t>
  </si>
  <si>
    <t>COMP</t>
  </si>
  <si>
    <t>Saxon</t>
  </si>
  <si>
    <t>TECMO TEAM RECORDS</t>
  </si>
  <si>
    <t>Highest Total Offense (Yards)</t>
  </si>
  <si>
    <t>Crockett</t>
  </si>
  <si>
    <t>Davy</t>
  </si>
  <si>
    <t>Stryzinski</t>
  </si>
  <si>
    <t>Tuggle</t>
  </si>
  <si>
    <t>Jessie</t>
  </si>
  <si>
    <t>FS</t>
  </si>
  <si>
    <t>Waymer</t>
  </si>
  <si>
    <t>Hamilton</t>
  </si>
  <si>
    <t>Harry</t>
  </si>
  <si>
    <t>Massey</t>
  </si>
  <si>
    <t>Robert</t>
  </si>
  <si>
    <t>Byrd</t>
  </si>
  <si>
    <t>Dennis</t>
  </si>
  <si>
    <t>McKellar</t>
  </si>
  <si>
    <t>O'Neal</t>
  </si>
  <si>
    <t>Leslie</t>
  </si>
  <si>
    <t>ILB</t>
  </si>
  <si>
    <t>Plummer</t>
  </si>
  <si>
    <t>Clifton</t>
  </si>
  <si>
    <t>Kyle</t>
  </si>
  <si>
    <t>Maury</t>
  </si>
  <si>
    <t>Herrod</t>
  </si>
  <si>
    <t>Arnold</t>
  </si>
  <si>
    <t>Highest Passing Offense (Yards)</t>
  </si>
  <si>
    <t>McMillan</t>
  </si>
  <si>
    <t>Erik</t>
  </si>
  <si>
    <t>Jerome</t>
  </si>
  <si>
    <t>Tuten</t>
  </si>
  <si>
    <t>Rick</t>
  </si>
  <si>
    <t>Hansen</t>
  </si>
  <si>
    <t>Prokop</t>
  </si>
  <si>
    <t>Camarillo</t>
  </si>
  <si>
    <t>Conlan</t>
  </si>
  <si>
    <t>Shane</t>
  </si>
  <si>
    <t>Richared</t>
  </si>
  <si>
    <t>English</t>
  </si>
  <si>
    <t>RE</t>
  </si>
  <si>
    <t>Snow</t>
  </si>
  <si>
    <t>Percy</t>
  </si>
  <si>
    <t>Zander</t>
  </si>
  <si>
    <t>Carl</t>
  </si>
  <si>
    <t>Mills</t>
  </si>
  <si>
    <t>Highest Rushing Offense (Yards)</t>
  </si>
  <si>
    <t>Fulcher</t>
  </si>
  <si>
    <t>Clark</t>
  </si>
  <si>
    <t>TECMO TEAM STATISTICS</t>
  </si>
  <si>
    <t>Greer</t>
  </si>
  <si>
    <t>Terry</t>
  </si>
  <si>
    <t>RILB</t>
  </si>
  <si>
    <t>L</t>
  </si>
  <si>
    <t>T</t>
  </si>
  <si>
    <t>FOR</t>
  </si>
  <si>
    <t>AGAINST</t>
  </si>
  <si>
    <t>DIFF</t>
  </si>
  <si>
    <t>Little</t>
  </si>
  <si>
    <t>OFF RANK</t>
  </si>
  <si>
    <t>TOTAL OFF</t>
  </si>
  <si>
    <t>PASS OFF</t>
  </si>
  <si>
    <t>RUSH OFF</t>
  </si>
  <si>
    <t>DEF RANK</t>
  </si>
  <si>
    <t>TOTAL DEF</t>
  </si>
  <si>
    <t>PASS DEF</t>
  </si>
  <si>
    <t>LILB</t>
  </si>
  <si>
    <t>RUSH DEF</t>
  </si>
  <si>
    <t>Munford</t>
  </si>
  <si>
    <t>SEASON END</t>
  </si>
  <si>
    <t>SUPERBOWL</t>
  </si>
  <si>
    <t>Jimmie</t>
  </si>
  <si>
    <t>RCB</t>
  </si>
  <si>
    <t>Woodson</t>
  </si>
  <si>
    <t>Rod</t>
  </si>
  <si>
    <t>LE</t>
  </si>
  <si>
    <t>Best Defense Overall (Yards)</t>
  </si>
  <si>
    <t>Vaughn</t>
  </si>
  <si>
    <t>Sewell</t>
  </si>
  <si>
    <t>Ross</t>
  </si>
  <si>
    <t>Deion</t>
  </si>
  <si>
    <t>ROLB</t>
  </si>
  <si>
    <t>Lloyd</t>
  </si>
  <si>
    <t>Best Passing Defense (Yards)</t>
  </si>
  <si>
    <t>LOLB</t>
  </si>
  <si>
    <t>Bennett</t>
  </si>
  <si>
    <t>Cornelius</t>
  </si>
  <si>
    <t>Odomes</t>
  </si>
  <si>
    <t>LCB</t>
  </si>
  <si>
    <t>Kirby</t>
  </si>
  <si>
    <t>Agnew</t>
  </si>
  <si>
    <t>Ray</t>
  </si>
  <si>
    <t>Reynolds</t>
  </si>
  <si>
    <t>Ed</t>
  </si>
  <si>
    <t>Harvey</t>
  </si>
  <si>
    <t>Hurst</t>
  </si>
  <si>
    <t>Maurice</t>
  </si>
  <si>
    <t>Lippett</t>
  </si>
  <si>
    <t>Ronnie</t>
  </si>
  <si>
    <t>Mcmillan</t>
  </si>
  <si>
    <t>Mcdonald</t>
  </si>
  <si>
    <t>Stams</t>
  </si>
  <si>
    <t>Frank</t>
  </si>
  <si>
    <t>Spielman</t>
  </si>
  <si>
    <t>Turnbull</t>
  </si>
  <si>
    <t>Renaldo</t>
  </si>
  <si>
    <t>Best Rushing Defense (Yards)</t>
  </si>
  <si>
    <t>Simmons</t>
  </si>
  <si>
    <t>Clyde</t>
  </si>
  <si>
    <t>NT</t>
  </si>
  <si>
    <t>Golic</t>
  </si>
  <si>
    <t>Small</t>
  </si>
  <si>
    <t>Evans</t>
  </si>
  <si>
    <t>Byron</t>
  </si>
  <si>
    <t>Joyner</t>
  </si>
  <si>
    <t>Seth</t>
  </si>
  <si>
    <t>Ben</t>
  </si>
  <si>
    <t>Hopkins</t>
  </si>
  <si>
    <t>Wes</t>
  </si>
  <si>
    <t>DET*</t>
  </si>
  <si>
    <t>Mecklenburg</t>
  </si>
  <si>
    <t>Karl</t>
  </si>
  <si>
    <t>Braxton</t>
  </si>
  <si>
    <t>Tyone</t>
  </si>
  <si>
    <t>Most Points Forwarded</t>
  </si>
  <si>
    <t>Awards</t>
  </si>
  <si>
    <t>Award</t>
  </si>
  <si>
    <t>Lowest Points Against</t>
  </si>
  <si>
    <t>Notes</t>
  </si>
  <si>
    <t>TECMO SUPER BOWL STATISTICS</t>
  </si>
  <si>
    <t>Super Bowl Loss to BUF (CR) 17-10</t>
  </si>
  <si>
    <t>MVP</t>
  </si>
  <si>
    <t>AFC</t>
  </si>
  <si>
    <t>NFC</t>
  </si>
  <si>
    <t>Score AFC</t>
  </si>
  <si>
    <t>Score NFC</t>
  </si>
  <si>
    <t>Rushed for 2490 yards on 255 carries for 40 touchdowns, accounting for over 60% of the Cowboys points for the season.</t>
  </si>
  <si>
    <t>AFC User</t>
  </si>
  <si>
    <t>NFC User</t>
  </si>
  <si>
    <t>Victory Margin</t>
  </si>
  <si>
    <t>Location</t>
  </si>
  <si>
    <t>Selection Type</t>
  </si>
  <si>
    <t>Polo Dorm</t>
  </si>
  <si>
    <t>All Pick</t>
  </si>
  <si>
    <t>Lead the Lions defense to a record 203 points allowed while recording 63 sacks and numerous safeties.</t>
  </si>
  <si>
    <t>Handicap Pick</t>
  </si>
  <si>
    <t>Rice Residence</t>
  </si>
  <si>
    <t>Obliterated records for rushing and touchdowns with 2936 yards and 56 touchdowns.</t>
  </si>
  <si>
    <t>Overtime</t>
  </si>
  <si>
    <t>PJ's Basement</t>
  </si>
  <si>
    <t>K-Vegas</t>
  </si>
  <si>
    <t>Random Pick</t>
  </si>
  <si>
    <t>Equal Pick</t>
  </si>
  <si>
    <t>SF Eliminated two human players in NFC playoff</t>
  </si>
  <si>
    <t>Best Point Differential</t>
  </si>
  <si>
    <t>Crushed records for receiving yards and touchdowns with 2355 yards and 37 touchdowns with over 47 yards per reception.</t>
  </si>
  <si>
    <t>Bachelor Party</t>
  </si>
  <si>
    <t>PHI Elimated SF 14-10, PHI Eliminated GIA 40-14, HOU Eliminated RAI 31-28, BUF Eliminated HOU 31-21</t>
  </si>
  <si>
    <t>Billy Mansion</t>
  </si>
  <si>
    <t>KC Eliminated MIA, CIN Eliminated KC, SF (Comp) Eliminated NO</t>
  </si>
  <si>
    <t>Broke sacking record by 10 while leading the Giants defense to only 88 total points allowed over the entire season.</t>
  </si>
  <si>
    <t>KC (Comp) Eliminated DEN (CR) 20-14 in OT AFC Divisional; PIT (WB) Eliminated JET (PJ) 13-10 in OT; KC (Comp) Eliminated PIT (WB) 20-10 AFC Championship; KC (Comp) Elimated DAL (CJ) in Super Bowl</t>
  </si>
  <si>
    <t>RAI (PJ) Eliminated MIA (CJ) in AFC Championship 31-3; RAI (PJ) Eliminated PHI (WB) 21-0 in Superbowl</t>
  </si>
  <si>
    <t>Division Pick</t>
  </si>
  <si>
    <t>DEN (CR) Eliminates SEA (WB) in AFC Wildcard 17-7;  Superbowl Overtime! The Stomp.</t>
  </si>
  <si>
    <t>Caught a record 89 passes for a record 3881 yards and a record of 56 receiving touchdowns.</t>
  </si>
  <si>
    <t>High Haven Farm</t>
  </si>
  <si>
    <t>Mike Cofer blocked Nick Lowery XP attempt to win game on last play</t>
  </si>
  <si>
    <t>SF (COMP) Elimated PHX (WB); DET (COMP) Elimated GIA (Brian); JET (MA) Eliminated NE (CR)</t>
  </si>
  <si>
    <t>Turkey Hill</t>
  </si>
  <si>
    <t>BUF (MAE) loses AFC Championship to MIA (MA) by only 7 points in first ever Tecmo season</t>
  </si>
  <si>
    <t>Caught over 20 TD passes, single handedly carrying the Seahawks to the Super Bowl.</t>
  </si>
  <si>
    <t>COMP Champion after BUF (MAE) eliminated in AFC Divisional and RAM (MA) eliminated by the eventual champion in NFC Championship</t>
  </si>
  <si>
    <t>DET (MA) defeats BUF (MAE) in her first SB appearance after facing SF in divisional and GIA in NFCC</t>
  </si>
  <si>
    <t>DET (PJ) defeats NO (AD) 28-14 in NFCCG; NO (AD) defeats SF (COMP) in Divisional Round on kick return as time expires 27-24 (Rueben Mayes had 3 KRTD).</t>
  </si>
  <si>
    <t>AFC Divisional Playoff Loss to PIT (WB) 13 - 10 OT</t>
  </si>
  <si>
    <t>SF (COMP) Eliminated PHI (AD) 24-21 in the NFCCG.</t>
  </si>
  <si>
    <t>Caught 44 receptions for over 2,000 yards and 30 TDs from the absymal Mark Rypien, leading the Skins to the NFC Championship game.</t>
  </si>
  <si>
    <t>O'Brien</t>
  </si>
  <si>
    <t>Tied fewest int passing record, threw for over 4000 yds, over 70% completion percentage, over 250 QB rating, and led team to 13 wins.</t>
  </si>
  <si>
    <t>Over 3,000 yards passing; 252.2 QB Rating; threw for 39 TDs and rushed for over 1100 yards with 23 TDs rushing.</t>
  </si>
  <si>
    <t>Ferrell Edmunds</t>
  </si>
  <si>
    <t>Undomesticated</t>
  </si>
  <si>
    <t>Dolphins</t>
  </si>
  <si>
    <t>Brian Blades</t>
  </si>
  <si>
    <t>Tied interception record, lead the top ranked defense.</t>
  </si>
  <si>
    <t>Ruben Bládès</t>
  </si>
  <si>
    <t>Seahawks</t>
  </si>
  <si>
    <t>Marion Butts</t>
  </si>
  <si>
    <t>Butts Butts Early Butts</t>
  </si>
  <si>
    <t>Chargers</t>
  </si>
  <si>
    <t>Quinn Early</t>
  </si>
  <si>
    <t>Tony Zendejas</t>
  </si>
  <si>
    <t>Kicks to You</t>
  </si>
  <si>
    <t>Oilers</t>
  </si>
  <si>
    <t>Jay Schroeder</t>
  </si>
  <si>
    <t>Slingin with Jay</t>
  </si>
  <si>
    <t>Raiders</t>
  </si>
  <si>
    <t>Schroedinger's Pass</t>
  </si>
  <si>
    <t>Willie Gault</t>
  </si>
  <si>
    <t>Assault</t>
  </si>
  <si>
    <t>Jeff Jaeger</t>
  </si>
  <si>
    <t>Yeff Yaeger</t>
  </si>
  <si>
    <t>Jaegerbombs</t>
  </si>
  <si>
    <t>Mervyn Fernandez</t>
  </si>
  <si>
    <t>Swervin'</t>
  </si>
  <si>
    <t>Ernest Byner</t>
  </si>
  <si>
    <t>Second all time in single season sack record with 82; lead defense to only allowing 143 points and team to best regular season record with 15 wins.</t>
  </si>
  <si>
    <t>The Importance of Being Earnest</t>
  </si>
  <si>
    <t>Redskins</t>
  </si>
  <si>
    <t>Dave Meggett</t>
  </si>
  <si>
    <t>Therapist</t>
  </si>
  <si>
    <t>Giants</t>
  </si>
  <si>
    <t>Timm Rosenbach</t>
  </si>
  <si>
    <t>Timmmmmmmmmmm</t>
  </si>
  <si>
    <t>Cardinals</t>
  </si>
  <si>
    <t>Al Del Greco</t>
  </si>
  <si>
    <t>The Greek</t>
  </si>
  <si>
    <t>Jim Harbaugh</t>
  </si>
  <si>
    <t>Jim Harbuff</t>
  </si>
  <si>
    <t>Bears</t>
  </si>
  <si>
    <t>Brad Muster</t>
  </si>
  <si>
    <t>Colonel Muster</t>
  </si>
  <si>
    <t>Johnny Bailey</t>
  </si>
  <si>
    <t>JOHNNY BAILEY</t>
  </si>
  <si>
    <t>Mike Singletary</t>
  </si>
  <si>
    <t>Samurai Mike</t>
  </si>
  <si>
    <t>Richard Johnson</t>
  </si>
  <si>
    <t>Dick Johnson</t>
  </si>
  <si>
    <t>Lions</t>
  </si>
  <si>
    <t>Bobby Humphrey</t>
  </si>
  <si>
    <t>Bebbe Hemphre</t>
  </si>
  <si>
    <t>Broncos</t>
  </si>
  <si>
    <t>Morten Andersen</t>
  </si>
  <si>
    <t>The Great Dane</t>
  </si>
  <si>
    <t>Saints</t>
  </si>
  <si>
    <t>Crushed TD record by 30, beat overall completion percentage record by more than a percentage point, did not throw an interception, and set the single season record by yardage by over 400 yards.</t>
  </si>
  <si>
    <t>Dan Marino</t>
  </si>
  <si>
    <t>Molasses</t>
  </si>
  <si>
    <t>Irving Fryar</t>
  </si>
  <si>
    <t>French</t>
  </si>
  <si>
    <t>Patriots</t>
  </si>
  <si>
    <t>Don Majkowski</t>
  </si>
  <si>
    <t>The Magic Man</t>
  </si>
  <si>
    <t>Packers</t>
  </si>
  <si>
    <t>Don Beebe</t>
  </si>
  <si>
    <t>El Patron Don Beebe</t>
  </si>
  <si>
    <t>Mark Duper</t>
  </si>
  <si>
    <t>Super</t>
  </si>
  <si>
    <t>Albert Bentley</t>
  </si>
  <si>
    <t>Bimmer, Benz, or Bentley</t>
  </si>
  <si>
    <t>Colts</t>
  </si>
  <si>
    <t>Barry Word</t>
  </si>
  <si>
    <t>Bird is the Word</t>
  </si>
  <si>
    <t>Chiefs</t>
  </si>
  <si>
    <t>Jim Breech</t>
  </si>
  <si>
    <t>Once more unto the Breech</t>
  </si>
  <si>
    <t>Karl Mecklenburg</t>
  </si>
  <si>
    <t>Albino Rhino</t>
  </si>
  <si>
    <t>Over 1,700 combined yards (1100+ receiving, 650+ rushing) and 33 total touchdowns.</t>
  </si>
  <si>
    <t>Carried a mediocre Detriot Lions team missing Barry Sanders for nine game to the Super Bowl Championship.</t>
  </si>
  <si>
    <t>53 Total touchdowns with 1984 yards rushing at over 10 yards a carry helping keep opposing offenses off the field</t>
  </si>
  <si>
    <t>Stunning  87.1% completion rate with only 2 INT through an injury-free season, spreading 65 passing TD across 5 receivers and picking up clutch rush TDs in late season/playoffs</t>
  </si>
  <si>
    <t>Responsible for 68 TD in the campaign with only 2 INT surrendered</t>
  </si>
  <si>
    <t>4482 yards and 68 TD in 12 regular season games. Injured 3 times, twice during regular season and again in NFCC vs GIA (missed SB)</t>
  </si>
  <si>
    <t>1418 yards with 38 TD leading the Lions to a 15-1 regular season record</t>
  </si>
  <si>
    <t>OPOY</t>
  </si>
  <si>
    <t>1333 total yards from scrimmage with 18 TDs as a dual threat receiver and running back.</t>
  </si>
  <si>
    <t>DPOY</t>
  </si>
  <si>
    <t>64 sacks leading the number 1 defense (total 3406 yards allowed) and only 211 points.</t>
  </si>
  <si>
    <t>NFC Divisional Playoff Loss to GIA (Comp) 23-21</t>
  </si>
  <si>
    <t>Accounting for 45 touchdowns with almost 3k passing yards and over 650 rushing yards.</t>
  </si>
  <si>
    <t>Put up over 2300 yards from scrimmage with 51 total touchdowns and over 2k yards rushing.</t>
  </si>
  <si>
    <t>SB Victory Over KC (COMP) 10-9</t>
  </si>
  <si>
    <t>16 interceptions, with 165 yards (10.3 yds per interception) and returned an interception for a touchdown.</t>
  </si>
  <si>
    <t>AFC Divisional Playoff Loss to KC (Comp) 27-14</t>
  </si>
  <si>
    <t>AFC Championship Loss to KC (Comp) 20-14</t>
  </si>
  <si>
    <t>SB Victory Over SF (COMP) 30 - 9</t>
  </si>
  <si>
    <t>AFC Championship Loss to BUF (PJ) 14-10</t>
  </si>
  <si>
    <t>AFC Wildcard Loss to JET (MA) 24-14</t>
  </si>
  <si>
    <t>NFC Championship Loss to SF (COMP) 20-14</t>
  </si>
  <si>
    <t>NFC Wildcard Loss to DET (COMP) 45-35</t>
  </si>
  <si>
    <t>SB Victory over SF (COMP) 14-13</t>
  </si>
  <si>
    <t>AFC Championship Loss to MIA (MA) 14-7</t>
  </si>
  <si>
    <t>AFC Divisional Playoff Loss to CIN (Comp) 30-14</t>
  </si>
  <si>
    <t>RAMS</t>
  </si>
  <si>
    <t>NFC Championship Loss to SF (COMP) 21-14</t>
  </si>
  <si>
    <t>SB Loss to DET (MA) 7-21</t>
  </si>
  <si>
    <t>SB Victory Over BUF (MAE) 21-7</t>
  </si>
  <si>
    <t>SB Victory over HOU (COMP) 44-13</t>
  </si>
  <si>
    <t>NFCCG Loss to DET (PJ) 14-28</t>
  </si>
  <si>
    <t>SB Victory over SF (COMP) 20-10</t>
  </si>
  <si>
    <t>NFC Championship Game Loss to SF (COMP) 24-21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</si>
</sst>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12">
    <font>
      <sz val="10.0"/>
      <color rgb="FF000000"/>
      <name val="Arial"/>
    </font>
    <font>
      <b/>
      <sz val="24.0"/>
      <color rgb="FF010000"/>
      <name val="Calibri"/>
    </font>
    <font>
      <b/>
      <sz val="11.0"/>
      <color rgb="FF010000"/>
      <name val="Calibri"/>
    </font>
    <font/>
    <font>
      <i/>
      <sz val="12.0"/>
    </font>
    <font>
      <b/>
    </font>
    <font>
      <sz val="11.0"/>
      <color rgb="FF010000"/>
      <name val="Calibri"/>
    </font>
    <font>
      <sz val="11.0"/>
      <color rgb="FF000000"/>
      <name val="Calibri"/>
    </font>
    <font>
      <name val="Arial"/>
    </font>
    <font>
      <sz val="11.0"/>
      <color rgb="FF000000"/>
      <name val="Inconsolata"/>
    </font>
    <font>
      <b/>
      <sz val="11.0"/>
      <color rgb="FF000000"/>
      <name val="Calibri"/>
    </font>
    <font>
      <sz val="9.0"/>
      <color rgb="FF01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74">
    <xf borderId="0" fillId="0" fontId="0" numFmtId="0" xfId="0" applyAlignment="1" applyFont="1">
      <alignment readingOrder="0" shrinkToFit="0" vertical="bottom" wrapText="1"/>
    </xf>
    <xf borderId="0" fillId="0" fontId="1" numFmtId="0" xfId="0" applyAlignment="1" applyFont="1">
      <alignment horizontal="center" readingOrder="0" shrinkToFit="0" vertical="bottom" wrapText="0"/>
    </xf>
    <xf borderId="0" fillId="2" fontId="1" numFmtId="0" xfId="0" applyAlignment="1" applyFill="1" applyFont="1">
      <alignment horizontal="center"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2" numFmtId="2" xfId="0" applyAlignment="1" applyFont="1" applyNumberFormat="1">
      <alignment readingOrder="0" shrinkToFit="0" vertical="bottom" wrapText="0"/>
    </xf>
    <xf borderId="0" fillId="2" fontId="3" numFmtId="0" xfId="0" applyAlignment="1" applyFill="1" applyFont="1">
      <alignment shrinkToFit="0" wrapText="1"/>
    </xf>
    <xf borderId="0" fillId="0" fontId="2" numFmtId="0" xfId="0" applyAlignment="1" applyFont="1">
      <alignment horizontal="left" readingOrder="0" shrinkToFit="0" vertical="bottom" wrapText="0"/>
    </xf>
    <xf borderId="0" fillId="0" fontId="2" numFmtId="164" xfId="0" applyAlignment="1" applyFont="1" applyNumberFormat="1">
      <alignment readingOrder="0" shrinkToFit="0" vertical="bottom" wrapText="0"/>
    </xf>
    <xf borderId="0" fillId="0" fontId="2" numFmtId="164" xfId="0" applyAlignment="1" applyFont="1" applyNumberFormat="1">
      <alignment readingOrder="0" shrinkToFit="0" vertical="bottom" wrapText="0"/>
    </xf>
    <xf borderId="0" fillId="2" fontId="4" numFmtId="0" xfId="0" applyAlignment="1" applyFill="1" applyFont="1">
      <alignment readingOrder="0" shrinkToFit="0" wrapText="1"/>
    </xf>
    <xf borderId="0" fillId="0" fontId="2" numFmtId="164" xfId="0" applyAlignment="1" applyFont="1" applyNumberFormat="1">
      <alignment horizontal="left" readingOrder="0" shrinkToFit="0" vertical="bottom" wrapText="0"/>
    </xf>
    <xf borderId="0" fillId="0" fontId="5" numFmtId="0" xfId="0" applyAlignment="1" applyFont="1">
      <alignment readingOrder="0" shrinkToFit="0" vertical="center" wrapText="1"/>
    </xf>
    <xf borderId="0" fillId="0" fontId="2" numFmtId="0" xfId="0" applyAlignment="1" applyFont="1">
      <alignment readingOrder="0" shrinkToFit="0" vertical="bottom" wrapText="0"/>
    </xf>
    <xf borderId="0" fillId="0" fontId="6" numFmtId="0" xfId="0" applyAlignment="1" applyFont="1">
      <alignment readingOrder="0" shrinkToFit="0" vertical="bottom" wrapText="0"/>
    </xf>
    <xf borderId="0" fillId="0" fontId="6" numFmtId="0" xfId="0" applyAlignment="1" applyFont="1">
      <alignment shrinkToFit="0" vertical="bottom" wrapText="0"/>
    </xf>
    <xf borderId="0" fillId="0" fontId="6" numFmtId="2" xfId="0" applyAlignment="1" applyFont="1" applyNumberFormat="1">
      <alignment shrinkToFit="0" vertical="bottom" wrapText="0"/>
    </xf>
    <xf borderId="0" fillId="0" fontId="6" numFmtId="164" xfId="0" applyAlignment="1" applyFont="1" applyNumberFormat="1">
      <alignment shrinkToFit="0" vertical="bottom" wrapText="0"/>
    </xf>
    <xf borderId="0" fillId="0" fontId="6" numFmtId="164" xfId="0" applyAlignment="1" applyFont="1" applyNumberFormat="1">
      <alignment readingOrder="0" shrinkToFit="0" vertical="bottom" wrapText="0"/>
    </xf>
    <xf borderId="0" fillId="2" fontId="5" numFmtId="0" xfId="0" applyAlignment="1" applyFill="1" applyFont="1">
      <alignment shrinkToFit="0" wrapText="1"/>
    </xf>
    <xf borderId="0" fillId="2" fontId="5" numFmtId="0" xfId="0" applyAlignment="1" applyFill="1" applyFont="1">
      <alignment shrinkToFit="0" wrapText="0"/>
    </xf>
    <xf borderId="0" fillId="0" fontId="6" numFmtId="0" xfId="0" applyAlignment="1" applyFont="1">
      <alignment readingOrder="0" shrinkToFit="0" vertical="bottom" wrapText="0"/>
    </xf>
    <xf borderId="0" fillId="2" fontId="3" numFmtId="2" xfId="0" applyAlignment="1" applyFill="1" applyFont="1" applyNumberFormat="1">
      <alignment shrinkToFit="0" wrapText="1"/>
    </xf>
    <xf borderId="0" fillId="2" fontId="3" numFmtId="164" xfId="0" applyAlignment="1" applyFill="1" applyFont="1" applyNumberFormat="1">
      <alignment shrinkToFit="0" wrapText="1"/>
    </xf>
    <xf borderId="0" fillId="2" fontId="3" numFmtId="0" xfId="0" applyAlignment="1" applyFill="1" applyFont="1">
      <alignment shrinkToFit="0" wrapText="0"/>
    </xf>
    <xf borderId="0" fillId="0" fontId="6" numFmtId="2" xfId="0" applyAlignment="1" applyFont="1" applyNumberFormat="1">
      <alignment readingOrder="0" shrinkToFit="0" vertical="bottom" wrapText="0"/>
    </xf>
    <xf borderId="0" fillId="0" fontId="6" numFmtId="164" xfId="0" applyAlignment="1" applyFont="1" applyNumberFormat="1">
      <alignment readingOrder="0" shrinkToFit="0" vertical="bottom" wrapText="0"/>
    </xf>
    <xf borderId="0" fillId="0" fontId="7" numFmtId="164" xfId="0" applyAlignment="1" applyFont="1" applyNumberFormat="1">
      <alignment readingOrder="0" shrinkToFit="0" vertical="bottom" wrapText="0"/>
    </xf>
    <xf borderId="0" fillId="0" fontId="6" numFmtId="0" xfId="0" applyAlignment="1" applyFont="1">
      <alignment readingOrder="0" shrinkToFit="0" vertical="center" wrapText="0"/>
    </xf>
    <xf borderId="0" fillId="0" fontId="3" numFmtId="0" xfId="0" applyAlignment="1" applyFont="1">
      <alignment readingOrder="0" shrinkToFit="0" wrapText="1"/>
    </xf>
    <xf borderId="0" fillId="0" fontId="6" numFmtId="0" xfId="0" applyAlignment="1" applyFont="1">
      <alignment shrinkToFit="0" vertical="bottom" wrapText="0"/>
    </xf>
    <xf borderId="0" fillId="0" fontId="6" numFmtId="0" xfId="0" applyAlignment="1" applyFont="1">
      <alignment horizontal="right" shrinkToFit="0" vertical="bottom" wrapText="0"/>
    </xf>
    <xf borderId="0" fillId="0" fontId="6" numFmtId="2" xfId="0" applyAlignment="1" applyFont="1" applyNumberFormat="1">
      <alignment horizontal="right" shrinkToFit="0" vertical="bottom" wrapText="0"/>
    </xf>
    <xf borderId="0" fillId="0" fontId="6" numFmtId="164" xfId="0" applyAlignment="1" applyFont="1" applyNumberFormat="1">
      <alignment horizontal="right" shrinkToFit="0" vertical="bottom" wrapText="0"/>
    </xf>
    <xf borderId="0" fillId="0" fontId="6" numFmtId="164" xfId="0" applyAlignment="1" applyFont="1" applyNumberFormat="1">
      <alignment horizontal="right" shrinkToFit="0" vertical="bottom" wrapText="0"/>
    </xf>
    <xf borderId="0" fillId="0" fontId="8" numFmtId="0" xfId="0" applyAlignment="1" applyFont="1">
      <alignment horizontal="right" shrinkToFit="0" vertical="bottom" wrapText="1"/>
    </xf>
    <xf borderId="0" fillId="0" fontId="8" numFmtId="0" xfId="0" applyAlignment="1" applyFont="1">
      <alignment shrinkToFit="0" vertical="bottom" wrapText="1"/>
    </xf>
    <xf borderId="0" fillId="0" fontId="6" numFmtId="0" xfId="0" applyAlignment="1" applyFont="1">
      <alignment horizontal="right" readingOrder="0" shrinkToFit="0" vertical="bottom" wrapText="0"/>
    </xf>
    <xf borderId="0" fillId="0" fontId="6" numFmtId="2" xfId="0" applyAlignment="1" applyFont="1" applyNumberFormat="1">
      <alignment horizontal="right" readingOrder="0" shrinkToFit="0" vertical="bottom" wrapText="0"/>
    </xf>
    <xf borderId="0" fillId="0" fontId="6" numFmtId="164" xfId="0" applyAlignment="1" applyFont="1" applyNumberFormat="1">
      <alignment horizontal="right" readingOrder="0" shrinkToFit="0" vertical="bottom" wrapText="0"/>
    </xf>
    <xf borderId="0" fillId="0" fontId="6" numFmtId="164" xfId="0" applyAlignment="1" applyFont="1" applyNumberFormat="1">
      <alignment horizontal="right" readingOrder="0" shrinkToFit="0" vertical="bottom" wrapText="0"/>
    </xf>
    <xf borderId="0" fillId="0" fontId="8" numFmtId="0" xfId="0" applyAlignment="1" applyFont="1">
      <alignment horizontal="right" readingOrder="0" shrinkToFit="0" vertical="bottom" wrapText="1"/>
    </xf>
    <xf borderId="0" fillId="0" fontId="8" numFmtId="0" xfId="0" applyAlignment="1" applyFont="1">
      <alignment readingOrder="0" shrinkToFit="0" vertical="bottom" wrapText="1"/>
    </xf>
    <xf borderId="0" fillId="2" fontId="4" numFmtId="0" xfId="0" applyAlignment="1" applyFill="1" applyFont="1">
      <alignment readingOrder="0" shrinkToFit="0" wrapText="0"/>
    </xf>
    <xf borderId="0" fillId="0" fontId="1" numFmtId="0" xfId="0" applyAlignment="1" applyFont="1">
      <alignment horizontal="center" readingOrder="0" shrinkToFit="0" vertical="bottom" wrapText="0"/>
    </xf>
    <xf borderId="0" fillId="0" fontId="9" numFmtId="0" xfId="0" applyAlignment="1" applyFont="1">
      <alignment shrinkToFit="0" vertical="center" wrapText="1"/>
    </xf>
    <xf borderId="0" fillId="2" fontId="3" numFmtId="0" xfId="0" applyAlignment="1" applyFill="1" applyFont="1">
      <alignment shrinkToFit="0" vertical="center" wrapText="1"/>
    </xf>
    <xf borderId="0" fillId="2" fontId="3" numFmtId="0" xfId="0" applyAlignment="1" applyFill="1" applyFont="1">
      <alignment shrinkToFit="0" vertical="center" wrapText="0"/>
    </xf>
    <xf borderId="0" fillId="0" fontId="2" numFmtId="0" xfId="0" applyAlignment="1" applyFont="1">
      <alignment horizontal="left" readingOrder="0" shrinkToFit="0" vertical="bottom" wrapText="0"/>
    </xf>
    <xf borderId="0" fillId="0" fontId="6" numFmtId="0" xfId="0" applyAlignment="1" applyFont="1">
      <alignment horizontal="left" readingOrder="0" shrinkToFit="0" vertical="bottom" wrapText="0"/>
    </xf>
    <xf borderId="0" fillId="0" fontId="3" numFmtId="0" xfId="0" applyAlignment="1" applyFont="1">
      <alignment horizontal="left" readingOrder="0" shrinkToFit="0" wrapText="1"/>
    </xf>
    <xf borderId="0" fillId="0" fontId="1" numFmtId="0" xfId="0" applyAlignment="1" applyFont="1">
      <alignment horizontal="center" readingOrder="0" shrinkToFit="0" vertical="center" wrapText="0"/>
    </xf>
    <xf borderId="0" fillId="0" fontId="10" numFmtId="0" xfId="0" applyAlignment="1" applyFont="1">
      <alignment horizontal="center" readingOrder="0" shrinkToFit="0" vertical="center" wrapText="0"/>
    </xf>
    <xf borderId="0" fillId="0" fontId="10" numFmtId="0" xfId="0" applyAlignment="1" applyFont="1">
      <alignment horizontal="center" readingOrder="0" shrinkToFit="0" vertical="center" wrapText="0"/>
    </xf>
    <xf borderId="0" fillId="0" fontId="6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6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49" xfId="0" applyAlignment="1" applyFont="1" applyNumberForma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11" numFmtId="0" xfId="0" applyAlignment="1" applyFont="1">
      <alignment readingOrder="0" shrinkToFit="0" vertical="center" wrapText="1"/>
    </xf>
    <xf borderId="0" fillId="0" fontId="2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readingOrder="0" shrinkToFit="0" vertical="center" wrapText="1"/>
    </xf>
    <xf borderId="0" fillId="0" fontId="6" numFmtId="0" xfId="0" applyAlignment="1" applyFont="1">
      <alignment readingOrder="0" shrinkToFit="0" vertical="center" wrapText="0"/>
    </xf>
    <xf borderId="0" fillId="0" fontId="3" numFmtId="0" xfId="0" applyAlignment="1" applyFont="1">
      <alignment readingOrder="0" shrinkToFit="0" vertical="center" wrapText="1"/>
    </xf>
    <xf borderId="0" fillId="0" fontId="6" numFmtId="3" xfId="0" applyAlignment="1" applyFont="1" applyNumberFormat="1">
      <alignment horizontal="right" readingOrder="0" shrinkToFit="0" vertical="center" wrapText="0"/>
    </xf>
    <xf borderId="0" fillId="0" fontId="6" numFmtId="3" xfId="0" applyAlignment="1" applyFont="1" applyNumberFormat="1">
      <alignment readingOrder="0" shrinkToFit="0" vertical="center" wrapText="0"/>
    </xf>
    <xf borderId="0" fillId="0" fontId="6" numFmtId="0" xfId="0" applyAlignment="1" applyFont="1">
      <alignment horizontal="left" readingOrder="0" shrinkToFit="0" vertical="center" wrapText="0"/>
    </xf>
    <xf borderId="0" fillId="0" fontId="11" numFmtId="0" xfId="0" applyAlignment="1" applyFont="1">
      <alignment readingOrder="0" shrinkToFit="0" vertical="center" wrapText="1"/>
    </xf>
    <xf borderId="0" fillId="0" fontId="11" numFmtId="0" xfId="0" applyAlignment="1" applyFont="1">
      <alignment shrinkToFit="0" vertical="center" wrapText="1"/>
    </xf>
    <xf borderId="0" fillId="0" fontId="11" numFmtId="0" xfId="0" applyAlignment="1" applyFont="1">
      <alignment horizontal="left" readingOrder="0" shrinkToFit="0" vertical="center" wrapText="1"/>
    </xf>
    <xf borderId="0" fillId="0" fontId="3" numFmtId="0" xfId="0" applyAlignment="1" applyFont="1">
      <alignment horizontal="left" readingOrder="0" shrinkToFit="0" vertical="center" wrapText="1"/>
    </xf>
    <xf borderId="0" fillId="0" fontId="3" numFmtId="3" xfId="0" applyAlignment="1" applyFont="1" applyNumberFormat="1">
      <alignment horizontal="left" readingOrder="0" shrinkToFit="0" vertical="center" wrapText="1"/>
    </xf>
    <xf borderId="0" fillId="0" fontId="11" numFmtId="0" xfId="0" applyAlignment="1" applyFont="1">
      <alignment horizontal="left" readingOrder="0" shrinkToFit="0" vertical="center" wrapText="1"/>
    </xf>
    <xf borderId="0" fillId="0" fontId="6" numFmtId="0" xfId="0" applyAlignment="1" applyFont="1">
      <alignment horizontal="center" shrinkToFit="0" vertical="center" wrapText="0"/>
    </xf>
  </cellXfs>
  <cellStyles count="1">
    <cellStyle xfId="0" name="Normal" builtinId="0"/>
  </cellStyles>
  <dxfs count="1">
    <dxf>
      <font/>
      <fill>
        <patternFill patternType="solid">
          <fgColor rgb="FFFCE8B2"/>
          <bgColor rgb="FFFCE8B2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ocumenttasks/documenttask1.xml><?xml version="1.0" encoding="utf-8"?>
<Tasks xmlns="http://schemas.microsoft.com/office/tasks/2019/documenttasks"/>
</file>

<file path=xl/documenttasks/documenttask2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Paul Street" id="{80ff34af-c03e-4cda-9b5e-5a66570113c5}" providerId="google-sheets"/>
</x18tc:personList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1" dT="2017-06-04T00:56:08.00" personId="{80ff34af-c03e-4cda-9b5e-5a66570113c5}" id="{d9ce0d3b-f403-4d8e-9224-bffc92290f84}" done="0">
    <x18tc:text xml:space="preserve">Did not notice cap.</x18tc:text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I31" dT="2019-10-04T01:06:32.00" personId="{80ff34af-c03e-4cda-9b5e-5a66570113c5}" id="{dfd28689-7bfe-4fc2-abe4-88647022010a}" done="0">
    <x18tc:text xml:space="preserve">Manually Calculated by all receiving TDs minus Cody Carlson.</x18tc:text>
  </x18tc:threadedComment>
  <x18tc:threadedComment ref="I15" dT="2017-06-04T00:52:16.00" personId="{80ff34af-c03e-4cda-9b5e-5a66570113c5}" id="{1bd92709-0fe2-4fe7-9e2c-414e1328a48f}" done="0">
    <x18tc:text xml:space="preserve">Reached cap and additional TD not recorded.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microsoft.com/office/2017/10/relationships/threadedComment" Target="../threadedComments/threadedComment2.xml"/><Relationship Id="rId3" Type="http://schemas.microsoft.com/office/2019/04/relationships/documenttask" Target="../documenttasks/documenttask2.xml"/><Relationship Id="rId4" Type="http://schemas.openxmlformats.org/officeDocument/2006/relationships/drawing" Target="../drawings/drawing2.xml"/><Relationship Id="rId5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5.5"/>
    <col customWidth="1" min="2" max="2" width="10.63"/>
    <col customWidth="1" min="3" max="3" width="10.13"/>
    <col customWidth="1" min="4" max="4" width="9.75"/>
    <col customWidth="1" min="5" max="5" width="7.0"/>
    <col customWidth="1" min="6" max="6" width="9.38"/>
    <col customWidth="1" min="7" max="7" width="7.25"/>
    <col customWidth="1" min="8" max="8" width="9.5"/>
    <col customWidth="1" min="9" max="9" width="10.25"/>
    <col customWidth="1" min="10" max="11" width="9.38"/>
    <col customWidth="1" min="12" max="12" width="6.75"/>
    <col customWidth="1" min="13" max="13" width="7.75"/>
    <col customWidth="1" min="14" max="14" width="6.75"/>
    <col customWidth="1" min="15" max="15" width="9.5"/>
    <col customWidth="1" min="16" max="16" width="11.38"/>
    <col customWidth="1" min="17" max="17" width="4.38"/>
    <col customWidth="1" min="18" max="18" width="6.5"/>
    <col customWidth="1" min="19" max="19" width="9.0"/>
    <col customWidth="1" min="20" max="20" width="4.25"/>
  </cols>
  <sheetData>
    <row r="1">
      <c r="A1" s="2" t="s">
        <v>0</v>
      </c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9" t="s">
        <v>14</v>
      </c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18" t="str">
        <f>IFERROR(__xludf.DUMMYFUNCTION("query(Passing!A2:P178, ""select * where P = 'No' order by D desc limit 3"",1)"),"POS")</f>
        <v>POS</v>
      </c>
      <c r="B3" s="18" t="str">
        <f>IFERROR(__xludf.DUMMYFUNCTION("""COMPUTED_VALUE"""),"Last Name")</f>
        <v>Last Name</v>
      </c>
      <c r="C3" s="18" t="str">
        <f>IFERROR(__xludf.DUMMYFUNCTION("""COMPUTED_VALUE"""),"First Name")</f>
        <v>First Name</v>
      </c>
      <c r="D3" s="18" t="str">
        <f>IFERROR(__xludf.DUMMYFUNCTION("""COMPUTED_VALUE"""),"ATT")</f>
        <v>ATT</v>
      </c>
      <c r="E3" s="18" t="str">
        <f>IFERROR(__xludf.DUMMYFUNCTION("""COMPUTED_VALUE"""),"COMPS")</f>
        <v>COMPS</v>
      </c>
      <c r="F3" s="18" t="str">
        <f>IFERROR(__xludf.DUMMYFUNCTION("""COMPUTED_VALUE"""),"COMP %")</f>
        <v>COMP %</v>
      </c>
      <c r="G3" s="18" t="str">
        <f>IFERROR(__xludf.DUMMYFUNCTION("""COMPUTED_VALUE"""),"YDS")</f>
        <v>YDS</v>
      </c>
      <c r="H3" s="18" t="str">
        <f>IFERROR(__xludf.DUMMYFUNCTION("""COMPUTED_VALUE"""),"AVG YDS")</f>
        <v>AVG YDS</v>
      </c>
      <c r="I3" s="18" t="str">
        <f>IFERROR(__xludf.DUMMYFUNCTION("""COMPUTED_VALUE"""),"TD")</f>
        <v>TD</v>
      </c>
      <c r="J3" s="18" t="str">
        <f>IFERROR(__xludf.DUMMYFUNCTION("""COMPUTED_VALUE"""),"INT")</f>
        <v>INT</v>
      </c>
      <c r="K3" s="18" t="str">
        <f>IFERROR(__xludf.DUMMYFUNCTION("""COMPUTED_VALUE"""),"RATING")</f>
        <v>RATING</v>
      </c>
      <c r="L3" s="18" t="str">
        <f>IFERROR(__xludf.DUMMYFUNCTION("""COMPUTED_VALUE"""),"Team")</f>
        <v>Team</v>
      </c>
      <c r="M3" s="18" t="str">
        <f>IFERROR(__xludf.DUMMYFUNCTION("""COMPUTED_VALUE"""),"User")</f>
        <v>User</v>
      </c>
      <c r="N3" s="18" t="str">
        <f>IFERROR(__xludf.DUMMYFUNCTION("""COMPUTED_VALUE"""),"Season")</f>
        <v>Season</v>
      </c>
      <c r="O3" s="18" t="str">
        <f>IFERROR(__xludf.DUMMYFUNCTION("""COMPUTED_VALUE"""),"Year")</f>
        <v>Year</v>
      </c>
      <c r="P3" s="19" t="str">
        <f>IFERROR(__xludf.DUMMYFUNCTION("""COMPUTED_VALUE"""),"Solo")</f>
        <v>Solo</v>
      </c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s="5" t="str">
        <f>IFERROR(__xludf.DUMMYFUNCTION("""COMPUTED_VALUE"""),"QB")</f>
        <v>QB</v>
      </c>
      <c r="B4" s="5" t="str">
        <f>IFERROR(__xludf.DUMMYFUNCTION("""COMPUTED_VALUE"""),"Moon")</f>
        <v>Moon</v>
      </c>
      <c r="C4" s="5" t="str">
        <f>IFERROR(__xludf.DUMMYFUNCTION("""COMPUTED_VALUE"""),"Warren")</f>
        <v>Warren</v>
      </c>
      <c r="D4" s="5">
        <f>IFERROR(__xludf.DUMMYFUNCTION("""COMPUTED_VALUE"""),316.0)</f>
        <v>316</v>
      </c>
      <c r="E4" s="5">
        <f>IFERROR(__xludf.DUMMYFUNCTION("""COMPUTED_VALUE"""),200.0)</f>
        <v>200</v>
      </c>
      <c r="F4" s="21">
        <f>IFERROR(__xludf.DUMMYFUNCTION("""COMPUTED_VALUE"""),63.2)</f>
        <v>63.2</v>
      </c>
      <c r="G4" s="5">
        <f>IFERROR(__xludf.DUMMYFUNCTION("""COMPUTED_VALUE"""),6365.0)</f>
        <v>6365</v>
      </c>
      <c r="H4" s="22">
        <f>IFERROR(__xludf.DUMMYFUNCTION("""COMPUTED_VALUE"""),20.1)</f>
        <v>20.1</v>
      </c>
      <c r="I4" s="5">
        <f>IFERROR(__xludf.DUMMYFUNCTION("""COMPUTED_VALUE"""),80.0)</f>
        <v>80</v>
      </c>
      <c r="J4" s="5">
        <f>IFERROR(__xludf.DUMMYFUNCTION("""COMPUTED_VALUE"""),6.0)</f>
        <v>6</v>
      </c>
      <c r="K4" s="22">
        <f>IFERROR(__xludf.DUMMYFUNCTION("""COMPUTED_VALUE"""),197.2)</f>
        <v>197.2</v>
      </c>
      <c r="L4" s="5" t="str">
        <f>IFERROR(__xludf.DUMMYFUNCTION("""COMPUTED_VALUE"""),"HOU")</f>
        <v>HOU</v>
      </c>
      <c r="M4" s="5" t="str">
        <f>IFERROR(__xludf.DUMMYFUNCTION("""COMPUTED_VALUE"""),"WB")</f>
        <v>WB</v>
      </c>
      <c r="N4" s="5">
        <f>IFERROR(__xludf.DUMMYFUNCTION("""COMPUTED_VALUE"""),6.0)</f>
        <v>6</v>
      </c>
      <c r="O4" s="5">
        <f>IFERROR(__xludf.DUMMYFUNCTION("""COMPUTED_VALUE"""),2011.0)</f>
        <v>2011</v>
      </c>
      <c r="P4" s="23" t="str">
        <f>IFERROR(__xludf.DUMMYFUNCTION("""COMPUTED_VALUE"""),"No")</f>
        <v>No</v>
      </c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5" t="str">
        <f>IFERROR(__xludf.DUMMYFUNCTION("""COMPUTED_VALUE"""),"QB")</f>
        <v>QB</v>
      </c>
      <c r="B5" s="5" t="str">
        <f>IFERROR(__xludf.DUMMYFUNCTION("""COMPUTED_VALUE"""),"Moon")</f>
        <v>Moon</v>
      </c>
      <c r="C5" s="5" t="str">
        <f>IFERROR(__xludf.DUMMYFUNCTION("""COMPUTED_VALUE"""),"Warren")</f>
        <v>Warren</v>
      </c>
      <c r="D5" s="5">
        <f>IFERROR(__xludf.DUMMYFUNCTION("""COMPUTED_VALUE"""),305.0)</f>
        <v>305</v>
      </c>
      <c r="E5" s="5">
        <f>IFERROR(__xludf.DUMMYFUNCTION("""COMPUTED_VALUE"""),183.0)</f>
        <v>183</v>
      </c>
      <c r="F5" s="21">
        <f>IFERROR(__xludf.DUMMYFUNCTION("""COMPUTED_VALUE"""),60.0)</f>
        <v>60</v>
      </c>
      <c r="G5" s="5">
        <f>IFERROR(__xludf.DUMMYFUNCTION("""COMPUTED_VALUE"""),5822.0)</f>
        <v>5822</v>
      </c>
      <c r="H5" s="22">
        <f>IFERROR(__xludf.DUMMYFUNCTION("""COMPUTED_VALUE"""),19.0)</f>
        <v>19</v>
      </c>
      <c r="I5" s="5">
        <f>IFERROR(__xludf.DUMMYFUNCTION("""COMPUTED_VALUE"""),73.0)</f>
        <v>73</v>
      </c>
      <c r="J5" s="5">
        <f>IFERROR(__xludf.DUMMYFUNCTION("""COMPUTED_VALUE"""),11.0)</f>
        <v>11</v>
      </c>
      <c r="K5" s="22">
        <f>IFERROR(__xludf.DUMMYFUNCTION("""COMPUTED_VALUE"""),185.4)</f>
        <v>185.4</v>
      </c>
      <c r="L5" s="5" t="str">
        <f>IFERROR(__xludf.DUMMYFUNCTION("""COMPUTED_VALUE"""),"HOU")</f>
        <v>HOU</v>
      </c>
      <c r="M5" s="5" t="str">
        <f>IFERROR(__xludf.DUMMYFUNCTION("""COMPUTED_VALUE"""),"WB")</f>
        <v>WB</v>
      </c>
      <c r="N5" s="5">
        <f>IFERROR(__xludf.DUMMYFUNCTION("""COMPUTED_VALUE"""),10.0)</f>
        <v>10</v>
      </c>
      <c r="O5" s="5">
        <f>IFERROR(__xludf.DUMMYFUNCTION("""COMPUTED_VALUE"""),2018.0)</f>
        <v>2018</v>
      </c>
      <c r="P5" s="23" t="str">
        <f>IFERROR(__xludf.DUMMYFUNCTION("""COMPUTED_VALUE"""),"No")</f>
        <v>No</v>
      </c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5" t="str">
        <f>IFERROR(__xludf.DUMMYFUNCTION("""COMPUTED_VALUE"""),"QB")</f>
        <v>QB</v>
      </c>
      <c r="B6" s="5" t="str">
        <f>IFERROR(__xludf.DUMMYFUNCTION("""COMPUTED_VALUE"""),"Marino")</f>
        <v>Marino</v>
      </c>
      <c r="C6" s="5" t="str">
        <f>IFERROR(__xludf.DUMMYFUNCTION("""COMPUTED_VALUE"""),"Dan")</f>
        <v>Dan</v>
      </c>
      <c r="D6" s="5">
        <f>IFERROR(__xludf.DUMMYFUNCTION("""COMPUTED_VALUE"""),277.0)</f>
        <v>277</v>
      </c>
      <c r="E6" s="5">
        <f>IFERROR(__xludf.DUMMYFUNCTION("""COMPUTED_VALUE"""),229.0)</f>
        <v>229</v>
      </c>
      <c r="F6" s="21">
        <f>IFERROR(__xludf.DUMMYFUNCTION("""COMPUTED_VALUE"""),82.6)</f>
        <v>82.6</v>
      </c>
      <c r="G6" s="5">
        <f>IFERROR(__xludf.DUMMYFUNCTION("""COMPUTED_VALUE"""),6743.0)</f>
        <v>6743</v>
      </c>
      <c r="H6" s="22">
        <f>IFERROR(__xludf.DUMMYFUNCTION("""COMPUTED_VALUE"""),24.3)</f>
        <v>24.3</v>
      </c>
      <c r="I6" s="5">
        <f>IFERROR(__xludf.DUMMYFUNCTION("""COMPUTED_VALUE"""),110.0)</f>
        <v>110</v>
      </c>
      <c r="J6" s="5">
        <f>IFERROR(__xludf.DUMMYFUNCTION("""COMPUTED_VALUE"""),0.0)</f>
        <v>0</v>
      </c>
      <c r="K6" s="22">
        <f>IFERROR(__xludf.DUMMYFUNCTION("""COMPUTED_VALUE"""),248.1)</f>
        <v>248.1</v>
      </c>
      <c r="L6" s="5" t="str">
        <f>IFERROR(__xludf.DUMMYFUNCTION("""COMPUTED_VALUE"""),"MIA")</f>
        <v>MIA</v>
      </c>
      <c r="M6" s="5" t="str">
        <f>IFERROR(__xludf.DUMMYFUNCTION("""COMPUTED_VALUE"""),"CJ")</f>
        <v>CJ</v>
      </c>
      <c r="N6" s="5">
        <f>IFERROR(__xludf.DUMMYFUNCTION("""COMPUTED_VALUE"""),13.0)</f>
        <v>13</v>
      </c>
      <c r="O6" s="5">
        <f>IFERROR(__xludf.DUMMYFUNCTION("""COMPUTED_VALUE"""),2021.0)</f>
        <v>2021</v>
      </c>
      <c r="P6" s="23" t="str">
        <f>IFERROR(__xludf.DUMMYFUNCTION("""COMPUTED_VALUE"""),"No")</f>
        <v>No</v>
      </c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23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9" t="s">
        <v>64</v>
      </c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18" t="str">
        <f>IFERROR(__xludf.DUMMYFUNCTION("query(Passing!A2:P178, ""select * where P = 'No' order by E desc limit 3"",1)"),"POS")</f>
        <v>POS</v>
      </c>
      <c r="B9" s="18" t="str">
        <f>IFERROR(__xludf.DUMMYFUNCTION("""COMPUTED_VALUE"""),"Last Name")</f>
        <v>Last Name</v>
      </c>
      <c r="C9" s="18" t="str">
        <f>IFERROR(__xludf.DUMMYFUNCTION("""COMPUTED_VALUE"""),"First Name")</f>
        <v>First Name</v>
      </c>
      <c r="D9" s="18" t="str">
        <f>IFERROR(__xludf.DUMMYFUNCTION("""COMPUTED_VALUE"""),"ATT")</f>
        <v>ATT</v>
      </c>
      <c r="E9" s="18" t="str">
        <f>IFERROR(__xludf.DUMMYFUNCTION("""COMPUTED_VALUE"""),"COMPS")</f>
        <v>COMPS</v>
      </c>
      <c r="F9" s="18" t="str">
        <f>IFERROR(__xludf.DUMMYFUNCTION("""COMPUTED_VALUE"""),"COMP %")</f>
        <v>COMP %</v>
      </c>
      <c r="G9" s="18" t="str">
        <f>IFERROR(__xludf.DUMMYFUNCTION("""COMPUTED_VALUE"""),"YDS")</f>
        <v>YDS</v>
      </c>
      <c r="H9" s="18" t="str">
        <f>IFERROR(__xludf.DUMMYFUNCTION("""COMPUTED_VALUE"""),"AVG YDS")</f>
        <v>AVG YDS</v>
      </c>
      <c r="I9" s="18" t="str">
        <f>IFERROR(__xludf.DUMMYFUNCTION("""COMPUTED_VALUE"""),"TD")</f>
        <v>TD</v>
      </c>
      <c r="J9" s="18" t="str">
        <f>IFERROR(__xludf.DUMMYFUNCTION("""COMPUTED_VALUE"""),"INT")</f>
        <v>INT</v>
      </c>
      <c r="K9" s="18" t="str">
        <f>IFERROR(__xludf.DUMMYFUNCTION("""COMPUTED_VALUE"""),"RATING")</f>
        <v>RATING</v>
      </c>
      <c r="L9" s="18" t="str">
        <f>IFERROR(__xludf.DUMMYFUNCTION("""COMPUTED_VALUE"""),"Team")</f>
        <v>Team</v>
      </c>
      <c r="M9" s="18" t="str">
        <f>IFERROR(__xludf.DUMMYFUNCTION("""COMPUTED_VALUE"""),"User")</f>
        <v>User</v>
      </c>
      <c r="N9" s="18" t="str">
        <f>IFERROR(__xludf.DUMMYFUNCTION("""COMPUTED_VALUE"""),"Season")</f>
        <v>Season</v>
      </c>
      <c r="O9" s="18" t="str">
        <f>IFERROR(__xludf.DUMMYFUNCTION("""COMPUTED_VALUE"""),"Year")</f>
        <v>Year</v>
      </c>
      <c r="P9" s="19" t="str">
        <f>IFERROR(__xludf.DUMMYFUNCTION("""COMPUTED_VALUE"""),"Solo")</f>
        <v>Solo</v>
      </c>
      <c r="Q9" s="18"/>
      <c r="R9" s="18"/>
      <c r="S9" s="18"/>
      <c r="T9" s="18"/>
      <c r="U9" s="18"/>
      <c r="V9" s="18"/>
      <c r="W9" s="18"/>
      <c r="X9" s="18"/>
      <c r="Y9" s="18"/>
      <c r="Z9" s="18"/>
    </row>
    <row r="10">
      <c r="A10" s="5" t="str">
        <f>IFERROR(__xludf.DUMMYFUNCTION("""COMPUTED_VALUE"""),"QB")</f>
        <v>QB</v>
      </c>
      <c r="B10" s="5" t="str">
        <f>IFERROR(__xludf.DUMMYFUNCTION("""COMPUTED_VALUE"""),"Marino")</f>
        <v>Marino</v>
      </c>
      <c r="C10" s="5" t="str">
        <f>IFERROR(__xludf.DUMMYFUNCTION("""COMPUTED_VALUE"""),"Dan")</f>
        <v>Dan</v>
      </c>
      <c r="D10" s="5">
        <f>IFERROR(__xludf.DUMMYFUNCTION("""COMPUTED_VALUE"""),277.0)</f>
        <v>277</v>
      </c>
      <c r="E10" s="5">
        <f>IFERROR(__xludf.DUMMYFUNCTION("""COMPUTED_VALUE"""),229.0)</f>
        <v>229</v>
      </c>
      <c r="F10" s="21">
        <f>IFERROR(__xludf.DUMMYFUNCTION("""COMPUTED_VALUE"""),82.6)</f>
        <v>82.6</v>
      </c>
      <c r="G10" s="5">
        <f>IFERROR(__xludf.DUMMYFUNCTION("""COMPUTED_VALUE"""),6743.0)</f>
        <v>6743</v>
      </c>
      <c r="H10" s="22">
        <f>IFERROR(__xludf.DUMMYFUNCTION("""COMPUTED_VALUE"""),24.3)</f>
        <v>24.3</v>
      </c>
      <c r="I10" s="5">
        <f>IFERROR(__xludf.DUMMYFUNCTION("""COMPUTED_VALUE"""),110.0)</f>
        <v>110</v>
      </c>
      <c r="J10" s="5">
        <f>IFERROR(__xludf.DUMMYFUNCTION("""COMPUTED_VALUE"""),0.0)</f>
        <v>0</v>
      </c>
      <c r="K10" s="22">
        <f>IFERROR(__xludf.DUMMYFUNCTION("""COMPUTED_VALUE"""),248.1)</f>
        <v>248.1</v>
      </c>
      <c r="L10" s="5" t="str">
        <f>IFERROR(__xludf.DUMMYFUNCTION("""COMPUTED_VALUE"""),"MIA")</f>
        <v>MIA</v>
      </c>
      <c r="M10" s="5" t="str">
        <f>IFERROR(__xludf.DUMMYFUNCTION("""COMPUTED_VALUE"""),"CJ")</f>
        <v>CJ</v>
      </c>
      <c r="N10" s="5">
        <f>IFERROR(__xludf.DUMMYFUNCTION("""COMPUTED_VALUE"""),13.0)</f>
        <v>13</v>
      </c>
      <c r="O10" s="5">
        <f>IFERROR(__xludf.DUMMYFUNCTION("""COMPUTED_VALUE"""),2021.0)</f>
        <v>2021</v>
      </c>
      <c r="P10" s="23" t="str">
        <f>IFERROR(__xludf.DUMMYFUNCTION("""COMPUTED_VALUE"""),"No")</f>
        <v>No</v>
      </c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5" t="str">
        <f>IFERROR(__xludf.DUMMYFUNCTION("""COMPUTED_VALUE"""),"QB")</f>
        <v>QB</v>
      </c>
      <c r="B11" s="5" t="str">
        <f>IFERROR(__xludf.DUMMYFUNCTION("""COMPUTED_VALUE"""),"Marino")</f>
        <v>Marino</v>
      </c>
      <c r="C11" s="5" t="str">
        <f>IFERROR(__xludf.DUMMYFUNCTION("""COMPUTED_VALUE"""),"Dan")</f>
        <v>Dan</v>
      </c>
      <c r="D11" s="5">
        <f>IFERROR(__xludf.DUMMYFUNCTION("""COMPUTED_VALUE"""),249.0)</f>
        <v>249</v>
      </c>
      <c r="E11" s="5">
        <f>IFERROR(__xludf.DUMMYFUNCTION("""COMPUTED_VALUE"""),217.0)</f>
        <v>217</v>
      </c>
      <c r="F11" s="21">
        <f>IFERROR(__xludf.DUMMYFUNCTION("""COMPUTED_VALUE"""),87.1)</f>
        <v>87.1</v>
      </c>
      <c r="G11" s="5">
        <f>IFERROR(__xludf.DUMMYFUNCTION("""COMPUTED_VALUE"""),5129.0)</f>
        <v>5129</v>
      </c>
      <c r="H11" s="22">
        <f>IFERROR(__xludf.DUMMYFUNCTION("""COMPUTED_VALUE"""),20.6)</f>
        <v>20.6</v>
      </c>
      <c r="I11" s="5">
        <f>IFERROR(__xludf.DUMMYFUNCTION("""COMPUTED_VALUE"""),65.0)</f>
        <v>65</v>
      </c>
      <c r="J11" s="5">
        <f>IFERROR(__xludf.DUMMYFUNCTION("""COMPUTED_VALUE"""),2.0)</f>
        <v>2</v>
      </c>
      <c r="K11" s="22">
        <f>IFERROR(__xludf.DUMMYFUNCTION("""COMPUTED_VALUE"""),241.5)</f>
        <v>241.5</v>
      </c>
      <c r="L11" s="5" t="str">
        <f>IFERROR(__xludf.DUMMYFUNCTION("""COMPUTED_VALUE"""),"MIA")</f>
        <v>MIA</v>
      </c>
      <c r="M11" s="5" t="str">
        <f>IFERROR(__xludf.DUMMYFUNCTION("""COMPUTED_VALUE"""),"MA")</f>
        <v>MA</v>
      </c>
      <c r="N11" s="5">
        <f>IFERROR(__xludf.DUMMYFUNCTION("""COMPUTED_VALUE"""),17.0)</f>
        <v>17</v>
      </c>
      <c r="O11" s="5">
        <f>IFERROR(__xludf.DUMMYFUNCTION("""COMPUTED_VALUE"""),2025.0)</f>
        <v>2025</v>
      </c>
      <c r="P11" s="23" t="str">
        <f>IFERROR(__xludf.DUMMYFUNCTION("""COMPUTED_VALUE"""),"No")</f>
        <v>No</v>
      </c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5" t="str">
        <f>IFERROR(__xludf.DUMMYFUNCTION("""COMPUTED_VALUE"""),"QB")</f>
        <v>QB</v>
      </c>
      <c r="B12" s="5" t="str">
        <f>IFERROR(__xludf.DUMMYFUNCTION("""COMPUTED_VALUE"""),"Moon")</f>
        <v>Moon</v>
      </c>
      <c r="C12" s="5" t="str">
        <f>IFERROR(__xludf.DUMMYFUNCTION("""COMPUTED_VALUE"""),"Warren")</f>
        <v>Warren</v>
      </c>
      <c r="D12" s="5">
        <f>IFERROR(__xludf.DUMMYFUNCTION("""COMPUTED_VALUE"""),316.0)</f>
        <v>316</v>
      </c>
      <c r="E12" s="5">
        <f>IFERROR(__xludf.DUMMYFUNCTION("""COMPUTED_VALUE"""),200.0)</f>
        <v>200</v>
      </c>
      <c r="F12" s="21">
        <f>IFERROR(__xludf.DUMMYFUNCTION("""COMPUTED_VALUE"""),63.2)</f>
        <v>63.2</v>
      </c>
      <c r="G12" s="5">
        <f>IFERROR(__xludf.DUMMYFUNCTION("""COMPUTED_VALUE"""),6365.0)</f>
        <v>6365</v>
      </c>
      <c r="H12" s="22">
        <f>IFERROR(__xludf.DUMMYFUNCTION("""COMPUTED_VALUE"""),20.1)</f>
        <v>20.1</v>
      </c>
      <c r="I12" s="5">
        <f>IFERROR(__xludf.DUMMYFUNCTION("""COMPUTED_VALUE"""),80.0)</f>
        <v>80</v>
      </c>
      <c r="J12" s="5">
        <f>IFERROR(__xludf.DUMMYFUNCTION("""COMPUTED_VALUE"""),6.0)</f>
        <v>6</v>
      </c>
      <c r="K12" s="22">
        <f>IFERROR(__xludf.DUMMYFUNCTION("""COMPUTED_VALUE"""),197.2)</f>
        <v>197.2</v>
      </c>
      <c r="L12" s="5" t="str">
        <f>IFERROR(__xludf.DUMMYFUNCTION("""COMPUTED_VALUE"""),"HOU")</f>
        <v>HOU</v>
      </c>
      <c r="M12" s="5" t="str">
        <f>IFERROR(__xludf.DUMMYFUNCTION("""COMPUTED_VALUE"""),"WB")</f>
        <v>WB</v>
      </c>
      <c r="N12" s="5">
        <f>IFERROR(__xludf.DUMMYFUNCTION("""COMPUTED_VALUE"""),6.0)</f>
        <v>6</v>
      </c>
      <c r="O12" s="5">
        <f>IFERROR(__xludf.DUMMYFUNCTION("""COMPUTED_VALUE"""),2011.0)</f>
        <v>2011</v>
      </c>
      <c r="P12" s="23" t="str">
        <f>IFERROR(__xludf.DUMMYFUNCTION("""COMPUTED_VALUE"""),"No")</f>
        <v>No</v>
      </c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23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9" t="s">
        <v>97</v>
      </c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18" t="str">
        <f>IFERROR(__xludf.DUMMYFUNCTION("query(Passing!A2:P178, ""select * where P = 'No' order by F desc limit 3"",1)"),"POS")</f>
        <v>POS</v>
      </c>
      <c r="B15" s="18" t="str">
        <f>IFERROR(__xludf.DUMMYFUNCTION("""COMPUTED_VALUE"""),"Last Name")</f>
        <v>Last Name</v>
      </c>
      <c r="C15" s="18" t="str">
        <f>IFERROR(__xludf.DUMMYFUNCTION("""COMPUTED_VALUE"""),"First Name")</f>
        <v>First Name</v>
      </c>
      <c r="D15" s="18" t="str">
        <f>IFERROR(__xludf.DUMMYFUNCTION("""COMPUTED_VALUE"""),"ATT")</f>
        <v>ATT</v>
      </c>
      <c r="E15" s="18" t="str">
        <f>IFERROR(__xludf.DUMMYFUNCTION("""COMPUTED_VALUE"""),"COMPS")</f>
        <v>COMPS</v>
      </c>
      <c r="F15" s="18" t="str">
        <f>IFERROR(__xludf.DUMMYFUNCTION("""COMPUTED_VALUE"""),"COMP %")</f>
        <v>COMP %</v>
      </c>
      <c r="G15" s="18" t="str">
        <f>IFERROR(__xludf.DUMMYFUNCTION("""COMPUTED_VALUE"""),"YDS")</f>
        <v>YDS</v>
      </c>
      <c r="H15" s="18" t="str">
        <f>IFERROR(__xludf.DUMMYFUNCTION("""COMPUTED_VALUE"""),"AVG YDS")</f>
        <v>AVG YDS</v>
      </c>
      <c r="I15" s="18" t="str">
        <f>IFERROR(__xludf.DUMMYFUNCTION("""COMPUTED_VALUE"""),"TD")</f>
        <v>TD</v>
      </c>
      <c r="J15" s="18" t="str">
        <f>IFERROR(__xludf.DUMMYFUNCTION("""COMPUTED_VALUE"""),"INT")</f>
        <v>INT</v>
      </c>
      <c r="K15" s="18" t="str">
        <f>IFERROR(__xludf.DUMMYFUNCTION("""COMPUTED_VALUE"""),"RATING")</f>
        <v>RATING</v>
      </c>
      <c r="L15" s="18" t="str">
        <f>IFERROR(__xludf.DUMMYFUNCTION("""COMPUTED_VALUE"""),"Team")</f>
        <v>Team</v>
      </c>
      <c r="M15" s="18" t="str">
        <f>IFERROR(__xludf.DUMMYFUNCTION("""COMPUTED_VALUE"""),"User")</f>
        <v>User</v>
      </c>
      <c r="N15" s="18" t="str">
        <f>IFERROR(__xludf.DUMMYFUNCTION("""COMPUTED_VALUE"""),"Season")</f>
        <v>Season</v>
      </c>
      <c r="O15" s="18" t="str">
        <f>IFERROR(__xludf.DUMMYFUNCTION("""COMPUTED_VALUE"""),"Year")</f>
        <v>Year</v>
      </c>
      <c r="P15" s="19" t="str">
        <f>IFERROR(__xludf.DUMMYFUNCTION("""COMPUTED_VALUE"""),"Solo")</f>
        <v>Solo</v>
      </c>
      <c r="Q15" s="18"/>
      <c r="R15" s="18"/>
      <c r="S15" s="18"/>
      <c r="T15" s="18"/>
      <c r="U15" s="18"/>
      <c r="V15" s="18"/>
      <c r="W15" s="18"/>
      <c r="X15" s="18"/>
      <c r="Y15" s="18"/>
      <c r="Z15" s="18"/>
    </row>
    <row r="16">
      <c r="A16" s="5" t="str">
        <f>IFERROR(__xludf.DUMMYFUNCTION("""COMPUTED_VALUE"""),"QB")</f>
        <v>QB</v>
      </c>
      <c r="B16" s="5" t="str">
        <f>IFERROR(__xludf.DUMMYFUNCTION("""COMPUTED_VALUE"""),"Marino")</f>
        <v>Marino</v>
      </c>
      <c r="C16" s="5" t="str">
        <f>IFERROR(__xludf.DUMMYFUNCTION("""COMPUTED_VALUE"""),"Dan")</f>
        <v>Dan</v>
      </c>
      <c r="D16" s="5">
        <f>IFERROR(__xludf.DUMMYFUNCTION("""COMPUTED_VALUE"""),249.0)</f>
        <v>249</v>
      </c>
      <c r="E16" s="5">
        <f>IFERROR(__xludf.DUMMYFUNCTION("""COMPUTED_VALUE"""),217.0)</f>
        <v>217</v>
      </c>
      <c r="F16" s="21">
        <f>IFERROR(__xludf.DUMMYFUNCTION("""COMPUTED_VALUE"""),87.1)</f>
        <v>87.1</v>
      </c>
      <c r="G16" s="5">
        <f>IFERROR(__xludf.DUMMYFUNCTION("""COMPUTED_VALUE"""),5129.0)</f>
        <v>5129</v>
      </c>
      <c r="H16" s="22">
        <f>IFERROR(__xludf.DUMMYFUNCTION("""COMPUTED_VALUE"""),20.6)</f>
        <v>20.6</v>
      </c>
      <c r="I16" s="5">
        <f>IFERROR(__xludf.DUMMYFUNCTION("""COMPUTED_VALUE"""),65.0)</f>
        <v>65</v>
      </c>
      <c r="J16" s="5">
        <f>IFERROR(__xludf.DUMMYFUNCTION("""COMPUTED_VALUE"""),2.0)</f>
        <v>2</v>
      </c>
      <c r="K16" s="22">
        <f>IFERROR(__xludf.DUMMYFUNCTION("""COMPUTED_VALUE"""),241.5)</f>
        <v>241.5</v>
      </c>
      <c r="L16" s="5" t="str">
        <f>IFERROR(__xludf.DUMMYFUNCTION("""COMPUTED_VALUE"""),"MIA")</f>
        <v>MIA</v>
      </c>
      <c r="M16" s="5" t="str">
        <f>IFERROR(__xludf.DUMMYFUNCTION("""COMPUTED_VALUE"""),"MA")</f>
        <v>MA</v>
      </c>
      <c r="N16" s="5">
        <f>IFERROR(__xludf.DUMMYFUNCTION("""COMPUTED_VALUE"""),17.0)</f>
        <v>17</v>
      </c>
      <c r="O16" s="5">
        <f>IFERROR(__xludf.DUMMYFUNCTION("""COMPUTED_VALUE"""),2025.0)</f>
        <v>2025</v>
      </c>
      <c r="P16" s="23" t="str">
        <f>IFERROR(__xludf.DUMMYFUNCTION("""COMPUTED_VALUE"""),"No")</f>
        <v>No</v>
      </c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5" t="str">
        <f>IFERROR(__xludf.DUMMYFUNCTION("""COMPUTED_VALUE"""),"QB")</f>
        <v>QB</v>
      </c>
      <c r="B17" s="5" t="str">
        <f>IFERROR(__xludf.DUMMYFUNCTION("""COMPUTED_VALUE"""),"Marino")</f>
        <v>Marino</v>
      </c>
      <c r="C17" s="5" t="str">
        <f>IFERROR(__xludf.DUMMYFUNCTION("""COMPUTED_VALUE"""),"Dan")</f>
        <v>Dan</v>
      </c>
      <c r="D17" s="5">
        <f>IFERROR(__xludf.DUMMYFUNCTION("""COMPUTED_VALUE"""),277.0)</f>
        <v>277</v>
      </c>
      <c r="E17" s="5">
        <f>IFERROR(__xludf.DUMMYFUNCTION("""COMPUTED_VALUE"""),229.0)</f>
        <v>229</v>
      </c>
      <c r="F17" s="21">
        <f>IFERROR(__xludf.DUMMYFUNCTION("""COMPUTED_VALUE"""),82.6)</f>
        <v>82.6</v>
      </c>
      <c r="G17" s="5">
        <f>IFERROR(__xludf.DUMMYFUNCTION("""COMPUTED_VALUE"""),6743.0)</f>
        <v>6743</v>
      </c>
      <c r="H17" s="22">
        <f>IFERROR(__xludf.DUMMYFUNCTION("""COMPUTED_VALUE"""),24.3)</f>
        <v>24.3</v>
      </c>
      <c r="I17" s="5">
        <f>IFERROR(__xludf.DUMMYFUNCTION("""COMPUTED_VALUE"""),110.0)</f>
        <v>110</v>
      </c>
      <c r="J17" s="5">
        <f>IFERROR(__xludf.DUMMYFUNCTION("""COMPUTED_VALUE"""),0.0)</f>
        <v>0</v>
      </c>
      <c r="K17" s="22">
        <f>IFERROR(__xludf.DUMMYFUNCTION("""COMPUTED_VALUE"""),248.1)</f>
        <v>248.1</v>
      </c>
      <c r="L17" s="5" t="str">
        <f>IFERROR(__xludf.DUMMYFUNCTION("""COMPUTED_VALUE"""),"MIA")</f>
        <v>MIA</v>
      </c>
      <c r="M17" s="5" t="str">
        <f>IFERROR(__xludf.DUMMYFUNCTION("""COMPUTED_VALUE"""),"CJ")</f>
        <v>CJ</v>
      </c>
      <c r="N17" s="5">
        <f>IFERROR(__xludf.DUMMYFUNCTION("""COMPUTED_VALUE"""),13.0)</f>
        <v>13</v>
      </c>
      <c r="O17" s="5">
        <f>IFERROR(__xludf.DUMMYFUNCTION("""COMPUTED_VALUE"""),2021.0)</f>
        <v>2021</v>
      </c>
      <c r="P17" s="23" t="str">
        <f>IFERROR(__xludf.DUMMYFUNCTION("""COMPUTED_VALUE"""),"No")</f>
        <v>No</v>
      </c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5" t="str">
        <f>IFERROR(__xludf.DUMMYFUNCTION("""COMPUTED_VALUE"""),"QB")</f>
        <v>QB</v>
      </c>
      <c r="B18" s="5" t="str">
        <f>IFERROR(__xludf.DUMMYFUNCTION("""COMPUTED_VALUE"""),"Esiason")</f>
        <v>Esiason</v>
      </c>
      <c r="C18" s="5" t="str">
        <f>IFERROR(__xludf.DUMMYFUNCTION("""COMPUTED_VALUE"""),"Boomer")</f>
        <v>Boomer</v>
      </c>
      <c r="D18" s="5">
        <f>IFERROR(__xludf.DUMMYFUNCTION("""COMPUTED_VALUE"""),144.0)</f>
        <v>144</v>
      </c>
      <c r="E18" s="5">
        <f>IFERROR(__xludf.DUMMYFUNCTION("""COMPUTED_VALUE"""),117.0)</f>
        <v>117</v>
      </c>
      <c r="F18" s="21">
        <f>IFERROR(__xludf.DUMMYFUNCTION("""COMPUTED_VALUE"""),81.2)</f>
        <v>81.2</v>
      </c>
      <c r="G18" s="5">
        <f>IFERROR(__xludf.DUMMYFUNCTION("""COMPUTED_VALUE"""),2810.0)</f>
        <v>2810</v>
      </c>
      <c r="H18" s="22">
        <f>IFERROR(__xludf.DUMMYFUNCTION("""COMPUTED_VALUE"""),19.5)</f>
        <v>19.5</v>
      </c>
      <c r="I18" s="5">
        <f>IFERROR(__xludf.DUMMYFUNCTION("""COMPUTED_VALUE"""),36.0)</f>
        <v>36</v>
      </c>
      <c r="J18" s="5">
        <f>IFERROR(__xludf.DUMMYFUNCTION("""COMPUTED_VALUE"""),2.0)</f>
        <v>2</v>
      </c>
      <c r="K18" s="22">
        <f>IFERROR(__xludf.DUMMYFUNCTION("""COMPUTED_VALUE"""),228.6)</f>
        <v>228.6</v>
      </c>
      <c r="L18" s="5" t="str">
        <f>IFERROR(__xludf.DUMMYFUNCTION("""COMPUTED_VALUE"""),"CIN")</f>
        <v>CIN</v>
      </c>
      <c r="M18" s="5" t="str">
        <f>IFERROR(__xludf.DUMMYFUNCTION("""COMPUTED_VALUE"""),"PJ")</f>
        <v>PJ</v>
      </c>
      <c r="N18" s="5">
        <f>IFERROR(__xludf.DUMMYFUNCTION("""COMPUTED_VALUE"""),11.0)</f>
        <v>11</v>
      </c>
      <c r="O18" s="5">
        <f>IFERROR(__xludf.DUMMYFUNCTION("""COMPUTED_VALUE"""),2019.0)</f>
        <v>2019</v>
      </c>
      <c r="P18" s="23" t="str">
        <f>IFERROR(__xludf.DUMMYFUNCTION("""COMPUTED_VALUE"""),"No")</f>
        <v>No</v>
      </c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23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9" t="s">
        <v>122</v>
      </c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18" t="str">
        <f>IFERROR(__xludf.DUMMYFUNCTION("query(Passing!A2:P178, ""select * where P = 'No' order by G desc limit 3"",1)"),"POS")</f>
        <v>POS</v>
      </c>
      <c r="B21" s="18" t="str">
        <f>IFERROR(__xludf.DUMMYFUNCTION("""COMPUTED_VALUE"""),"Last Name")</f>
        <v>Last Name</v>
      </c>
      <c r="C21" s="18" t="str">
        <f>IFERROR(__xludf.DUMMYFUNCTION("""COMPUTED_VALUE"""),"First Name")</f>
        <v>First Name</v>
      </c>
      <c r="D21" s="18" t="str">
        <f>IFERROR(__xludf.DUMMYFUNCTION("""COMPUTED_VALUE"""),"ATT")</f>
        <v>ATT</v>
      </c>
      <c r="E21" s="18" t="str">
        <f>IFERROR(__xludf.DUMMYFUNCTION("""COMPUTED_VALUE"""),"COMPS")</f>
        <v>COMPS</v>
      </c>
      <c r="F21" s="18" t="str">
        <f>IFERROR(__xludf.DUMMYFUNCTION("""COMPUTED_VALUE"""),"COMP %")</f>
        <v>COMP %</v>
      </c>
      <c r="G21" s="18" t="str">
        <f>IFERROR(__xludf.DUMMYFUNCTION("""COMPUTED_VALUE"""),"YDS")</f>
        <v>YDS</v>
      </c>
      <c r="H21" s="18" t="str">
        <f>IFERROR(__xludf.DUMMYFUNCTION("""COMPUTED_VALUE"""),"AVG YDS")</f>
        <v>AVG YDS</v>
      </c>
      <c r="I21" s="18" t="str">
        <f>IFERROR(__xludf.DUMMYFUNCTION("""COMPUTED_VALUE"""),"TD")</f>
        <v>TD</v>
      </c>
      <c r="J21" s="18" t="str">
        <f>IFERROR(__xludf.DUMMYFUNCTION("""COMPUTED_VALUE"""),"INT")</f>
        <v>INT</v>
      </c>
      <c r="K21" s="18" t="str">
        <f>IFERROR(__xludf.DUMMYFUNCTION("""COMPUTED_VALUE"""),"RATING")</f>
        <v>RATING</v>
      </c>
      <c r="L21" s="18" t="str">
        <f>IFERROR(__xludf.DUMMYFUNCTION("""COMPUTED_VALUE"""),"Team")</f>
        <v>Team</v>
      </c>
      <c r="M21" s="18" t="str">
        <f>IFERROR(__xludf.DUMMYFUNCTION("""COMPUTED_VALUE"""),"User")</f>
        <v>User</v>
      </c>
      <c r="N21" s="18" t="str">
        <f>IFERROR(__xludf.DUMMYFUNCTION("""COMPUTED_VALUE"""),"Season")</f>
        <v>Season</v>
      </c>
      <c r="O21" s="18" t="str">
        <f>IFERROR(__xludf.DUMMYFUNCTION("""COMPUTED_VALUE"""),"Year")</f>
        <v>Year</v>
      </c>
      <c r="P21" s="19" t="str">
        <f>IFERROR(__xludf.DUMMYFUNCTION("""COMPUTED_VALUE"""),"Solo")</f>
        <v>Solo</v>
      </c>
      <c r="Q21" s="18"/>
      <c r="R21" s="18"/>
      <c r="S21" s="18"/>
      <c r="T21" s="18"/>
      <c r="U21" s="18"/>
      <c r="V21" s="18"/>
      <c r="W21" s="18"/>
      <c r="X21" s="18"/>
      <c r="Y21" s="18"/>
      <c r="Z21" s="18"/>
    </row>
    <row r="22">
      <c r="A22" s="5" t="str">
        <f>IFERROR(__xludf.DUMMYFUNCTION("""COMPUTED_VALUE"""),"QB")</f>
        <v>QB</v>
      </c>
      <c r="B22" s="5" t="str">
        <f>IFERROR(__xludf.DUMMYFUNCTION("""COMPUTED_VALUE"""),"Marino")</f>
        <v>Marino</v>
      </c>
      <c r="C22" s="5" t="str">
        <f>IFERROR(__xludf.DUMMYFUNCTION("""COMPUTED_VALUE"""),"Dan")</f>
        <v>Dan</v>
      </c>
      <c r="D22" s="5">
        <f>IFERROR(__xludf.DUMMYFUNCTION("""COMPUTED_VALUE"""),277.0)</f>
        <v>277</v>
      </c>
      <c r="E22" s="5">
        <f>IFERROR(__xludf.DUMMYFUNCTION("""COMPUTED_VALUE"""),229.0)</f>
        <v>229</v>
      </c>
      <c r="F22" s="21">
        <f>IFERROR(__xludf.DUMMYFUNCTION("""COMPUTED_VALUE"""),82.6)</f>
        <v>82.6</v>
      </c>
      <c r="G22" s="5">
        <f>IFERROR(__xludf.DUMMYFUNCTION("""COMPUTED_VALUE"""),6743.0)</f>
        <v>6743</v>
      </c>
      <c r="H22" s="22">
        <f>IFERROR(__xludf.DUMMYFUNCTION("""COMPUTED_VALUE"""),24.3)</f>
        <v>24.3</v>
      </c>
      <c r="I22" s="5">
        <f>IFERROR(__xludf.DUMMYFUNCTION("""COMPUTED_VALUE"""),110.0)</f>
        <v>110</v>
      </c>
      <c r="J22" s="5">
        <f>IFERROR(__xludf.DUMMYFUNCTION("""COMPUTED_VALUE"""),0.0)</f>
        <v>0</v>
      </c>
      <c r="K22" s="22">
        <f>IFERROR(__xludf.DUMMYFUNCTION("""COMPUTED_VALUE"""),248.1)</f>
        <v>248.1</v>
      </c>
      <c r="L22" s="5" t="str">
        <f>IFERROR(__xludf.DUMMYFUNCTION("""COMPUTED_VALUE"""),"MIA")</f>
        <v>MIA</v>
      </c>
      <c r="M22" s="5" t="str">
        <f>IFERROR(__xludf.DUMMYFUNCTION("""COMPUTED_VALUE"""),"CJ")</f>
        <v>CJ</v>
      </c>
      <c r="N22" s="5">
        <f>IFERROR(__xludf.DUMMYFUNCTION("""COMPUTED_VALUE"""),13.0)</f>
        <v>13</v>
      </c>
      <c r="O22" s="5">
        <f>IFERROR(__xludf.DUMMYFUNCTION("""COMPUTED_VALUE"""),2021.0)</f>
        <v>2021</v>
      </c>
      <c r="P22" s="23" t="str">
        <f>IFERROR(__xludf.DUMMYFUNCTION("""COMPUTED_VALUE"""),"No")</f>
        <v>No</v>
      </c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5" t="str">
        <f>IFERROR(__xludf.DUMMYFUNCTION("""COMPUTED_VALUE"""),"QB")</f>
        <v>QB</v>
      </c>
      <c r="B23" s="5" t="str">
        <f>IFERROR(__xludf.DUMMYFUNCTION("""COMPUTED_VALUE"""),"Moon")</f>
        <v>Moon</v>
      </c>
      <c r="C23" s="5" t="str">
        <f>IFERROR(__xludf.DUMMYFUNCTION("""COMPUTED_VALUE"""),"Warren")</f>
        <v>Warren</v>
      </c>
      <c r="D23" s="5">
        <f>IFERROR(__xludf.DUMMYFUNCTION("""COMPUTED_VALUE"""),316.0)</f>
        <v>316</v>
      </c>
      <c r="E23" s="5">
        <f>IFERROR(__xludf.DUMMYFUNCTION("""COMPUTED_VALUE"""),200.0)</f>
        <v>200</v>
      </c>
      <c r="F23" s="21">
        <f>IFERROR(__xludf.DUMMYFUNCTION("""COMPUTED_VALUE"""),63.2)</f>
        <v>63.2</v>
      </c>
      <c r="G23" s="5">
        <f>IFERROR(__xludf.DUMMYFUNCTION("""COMPUTED_VALUE"""),6365.0)</f>
        <v>6365</v>
      </c>
      <c r="H23" s="22">
        <f>IFERROR(__xludf.DUMMYFUNCTION("""COMPUTED_VALUE"""),20.1)</f>
        <v>20.1</v>
      </c>
      <c r="I23" s="5">
        <f>IFERROR(__xludf.DUMMYFUNCTION("""COMPUTED_VALUE"""),80.0)</f>
        <v>80</v>
      </c>
      <c r="J23" s="5">
        <f>IFERROR(__xludf.DUMMYFUNCTION("""COMPUTED_VALUE"""),6.0)</f>
        <v>6</v>
      </c>
      <c r="K23" s="22">
        <f>IFERROR(__xludf.DUMMYFUNCTION("""COMPUTED_VALUE"""),197.2)</f>
        <v>197.2</v>
      </c>
      <c r="L23" s="5" t="str">
        <f>IFERROR(__xludf.DUMMYFUNCTION("""COMPUTED_VALUE"""),"HOU")</f>
        <v>HOU</v>
      </c>
      <c r="M23" s="5" t="str">
        <f>IFERROR(__xludf.DUMMYFUNCTION("""COMPUTED_VALUE"""),"WB")</f>
        <v>WB</v>
      </c>
      <c r="N23" s="5">
        <f>IFERROR(__xludf.DUMMYFUNCTION("""COMPUTED_VALUE"""),6.0)</f>
        <v>6</v>
      </c>
      <c r="O23" s="5">
        <f>IFERROR(__xludf.DUMMYFUNCTION("""COMPUTED_VALUE"""),2011.0)</f>
        <v>2011</v>
      </c>
      <c r="P23" s="23" t="str">
        <f>IFERROR(__xludf.DUMMYFUNCTION("""COMPUTED_VALUE"""),"No")</f>
        <v>No</v>
      </c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5" t="str">
        <f>IFERROR(__xludf.DUMMYFUNCTION("""COMPUTED_VALUE"""),"QB")</f>
        <v>QB</v>
      </c>
      <c r="B24" s="5" t="str">
        <f>IFERROR(__xludf.DUMMYFUNCTION("""COMPUTED_VALUE"""),"Moon")</f>
        <v>Moon</v>
      </c>
      <c r="C24" s="5" t="str">
        <f>IFERROR(__xludf.DUMMYFUNCTION("""COMPUTED_VALUE"""),"Warren")</f>
        <v>Warren</v>
      </c>
      <c r="D24" s="5">
        <f>IFERROR(__xludf.DUMMYFUNCTION("""COMPUTED_VALUE"""),305.0)</f>
        <v>305</v>
      </c>
      <c r="E24" s="5">
        <f>IFERROR(__xludf.DUMMYFUNCTION("""COMPUTED_VALUE"""),183.0)</f>
        <v>183</v>
      </c>
      <c r="F24" s="21">
        <f>IFERROR(__xludf.DUMMYFUNCTION("""COMPUTED_VALUE"""),60.0)</f>
        <v>60</v>
      </c>
      <c r="G24" s="5">
        <f>IFERROR(__xludf.DUMMYFUNCTION("""COMPUTED_VALUE"""),5822.0)</f>
        <v>5822</v>
      </c>
      <c r="H24" s="22">
        <f>IFERROR(__xludf.DUMMYFUNCTION("""COMPUTED_VALUE"""),19.0)</f>
        <v>19</v>
      </c>
      <c r="I24" s="5">
        <f>IFERROR(__xludf.DUMMYFUNCTION("""COMPUTED_VALUE"""),73.0)</f>
        <v>73</v>
      </c>
      <c r="J24" s="5">
        <f>IFERROR(__xludf.DUMMYFUNCTION("""COMPUTED_VALUE"""),11.0)</f>
        <v>11</v>
      </c>
      <c r="K24" s="22">
        <f>IFERROR(__xludf.DUMMYFUNCTION("""COMPUTED_VALUE"""),185.4)</f>
        <v>185.4</v>
      </c>
      <c r="L24" s="5" t="str">
        <f>IFERROR(__xludf.DUMMYFUNCTION("""COMPUTED_VALUE"""),"HOU")</f>
        <v>HOU</v>
      </c>
      <c r="M24" s="5" t="str">
        <f>IFERROR(__xludf.DUMMYFUNCTION("""COMPUTED_VALUE"""),"WB")</f>
        <v>WB</v>
      </c>
      <c r="N24" s="5">
        <f>IFERROR(__xludf.DUMMYFUNCTION("""COMPUTED_VALUE"""),10.0)</f>
        <v>10</v>
      </c>
      <c r="O24" s="5">
        <f>IFERROR(__xludf.DUMMYFUNCTION("""COMPUTED_VALUE"""),2018.0)</f>
        <v>2018</v>
      </c>
      <c r="P24" s="23" t="str">
        <f>IFERROR(__xludf.DUMMYFUNCTION("""COMPUTED_VALUE"""),"No")</f>
        <v>No</v>
      </c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23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9" t="s">
        <v>140</v>
      </c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18" t="str">
        <f>IFERROR(__xludf.DUMMYFUNCTION("query(Passing!A2:P178, ""select * where P = 'No' order by H desc limit 3"",1)"),"POS")</f>
        <v>POS</v>
      </c>
      <c r="B27" s="18" t="str">
        <f>IFERROR(__xludf.DUMMYFUNCTION("""COMPUTED_VALUE"""),"Last Name")</f>
        <v>Last Name</v>
      </c>
      <c r="C27" s="18" t="str">
        <f>IFERROR(__xludf.DUMMYFUNCTION("""COMPUTED_VALUE"""),"First Name")</f>
        <v>First Name</v>
      </c>
      <c r="D27" s="18" t="str">
        <f>IFERROR(__xludf.DUMMYFUNCTION("""COMPUTED_VALUE"""),"ATT")</f>
        <v>ATT</v>
      </c>
      <c r="E27" s="18" t="str">
        <f>IFERROR(__xludf.DUMMYFUNCTION("""COMPUTED_VALUE"""),"COMPS")</f>
        <v>COMPS</v>
      </c>
      <c r="F27" s="18" t="str">
        <f>IFERROR(__xludf.DUMMYFUNCTION("""COMPUTED_VALUE"""),"COMP %")</f>
        <v>COMP %</v>
      </c>
      <c r="G27" s="18" t="str">
        <f>IFERROR(__xludf.DUMMYFUNCTION("""COMPUTED_VALUE"""),"YDS")</f>
        <v>YDS</v>
      </c>
      <c r="H27" s="18" t="str">
        <f>IFERROR(__xludf.DUMMYFUNCTION("""COMPUTED_VALUE"""),"AVG YDS")</f>
        <v>AVG YDS</v>
      </c>
      <c r="I27" s="18" t="str">
        <f>IFERROR(__xludf.DUMMYFUNCTION("""COMPUTED_VALUE"""),"TD")</f>
        <v>TD</v>
      </c>
      <c r="J27" s="18" t="str">
        <f>IFERROR(__xludf.DUMMYFUNCTION("""COMPUTED_VALUE"""),"INT")</f>
        <v>INT</v>
      </c>
      <c r="K27" s="18" t="str">
        <f>IFERROR(__xludf.DUMMYFUNCTION("""COMPUTED_VALUE"""),"RATING")</f>
        <v>RATING</v>
      </c>
      <c r="L27" s="18" t="str">
        <f>IFERROR(__xludf.DUMMYFUNCTION("""COMPUTED_VALUE"""),"Team")</f>
        <v>Team</v>
      </c>
      <c r="M27" s="18" t="str">
        <f>IFERROR(__xludf.DUMMYFUNCTION("""COMPUTED_VALUE"""),"User")</f>
        <v>User</v>
      </c>
      <c r="N27" s="18" t="str">
        <f>IFERROR(__xludf.DUMMYFUNCTION("""COMPUTED_VALUE"""),"Season")</f>
        <v>Season</v>
      </c>
      <c r="O27" s="18" t="str">
        <f>IFERROR(__xludf.DUMMYFUNCTION("""COMPUTED_VALUE"""),"Year")</f>
        <v>Year</v>
      </c>
      <c r="P27" s="19" t="str">
        <f>IFERROR(__xludf.DUMMYFUNCTION("""COMPUTED_VALUE"""),"Solo")</f>
        <v>Solo</v>
      </c>
      <c r="Q27" s="18"/>
      <c r="R27" s="18"/>
      <c r="S27" s="18"/>
      <c r="T27" s="18"/>
      <c r="U27" s="18"/>
      <c r="V27" s="18"/>
      <c r="W27" s="18"/>
      <c r="X27" s="18"/>
      <c r="Y27" s="18"/>
      <c r="Z27" s="18"/>
    </row>
    <row r="28">
      <c r="A28" s="5" t="str">
        <f>IFERROR(__xludf.DUMMYFUNCTION("""COMPUTED_VALUE"""),"QB")</f>
        <v>QB</v>
      </c>
      <c r="B28" s="5" t="str">
        <f>IFERROR(__xludf.DUMMYFUNCTION("""COMPUTED_VALUE"""),"Marino")</f>
        <v>Marino</v>
      </c>
      <c r="C28" s="5" t="str">
        <f>IFERROR(__xludf.DUMMYFUNCTION("""COMPUTED_VALUE"""),"Dan")</f>
        <v>Dan</v>
      </c>
      <c r="D28" s="5">
        <f>IFERROR(__xludf.DUMMYFUNCTION("""COMPUTED_VALUE"""),144.0)</f>
        <v>144</v>
      </c>
      <c r="E28" s="5">
        <f>IFERROR(__xludf.DUMMYFUNCTION("""COMPUTED_VALUE"""),113.0)</f>
        <v>113</v>
      </c>
      <c r="F28" s="21">
        <f>IFERROR(__xludf.DUMMYFUNCTION("""COMPUTED_VALUE"""),78.4)</f>
        <v>78.4</v>
      </c>
      <c r="G28" s="5">
        <f>IFERROR(__xludf.DUMMYFUNCTION("""COMPUTED_VALUE"""),3710.0)</f>
        <v>3710</v>
      </c>
      <c r="H28" s="22">
        <f>IFERROR(__xludf.DUMMYFUNCTION("""COMPUTED_VALUE"""),25.7)</f>
        <v>25.7</v>
      </c>
      <c r="I28" s="5">
        <f>IFERROR(__xludf.DUMMYFUNCTION("""COMPUTED_VALUE"""),45.0)</f>
        <v>45</v>
      </c>
      <c r="J28" s="5">
        <f>IFERROR(__xludf.DUMMYFUNCTION("""COMPUTED_VALUE"""),3.0)</f>
        <v>3</v>
      </c>
      <c r="K28" s="22">
        <f>IFERROR(__xludf.DUMMYFUNCTION("""COMPUTED_VALUE"""),270.3)</f>
        <v>270.3</v>
      </c>
      <c r="L28" s="5" t="str">
        <f>IFERROR(__xludf.DUMMYFUNCTION("""COMPUTED_VALUE"""),"MIA")</f>
        <v>MIA</v>
      </c>
      <c r="M28" s="5" t="str">
        <f>IFERROR(__xludf.DUMMYFUNCTION("""COMPUTED_VALUE"""),"MA")</f>
        <v>MA</v>
      </c>
      <c r="N28" s="5">
        <f>IFERROR(__xludf.DUMMYFUNCTION("""COMPUTED_VALUE"""),7.0)</f>
        <v>7</v>
      </c>
      <c r="O28" s="5">
        <f>IFERROR(__xludf.DUMMYFUNCTION("""COMPUTED_VALUE"""),2017.0)</f>
        <v>2017</v>
      </c>
      <c r="P28" s="23" t="str">
        <f>IFERROR(__xludf.DUMMYFUNCTION("""COMPUTED_VALUE"""),"No")</f>
        <v>No</v>
      </c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5" t="str">
        <f>IFERROR(__xludf.DUMMYFUNCTION("""COMPUTED_VALUE"""),"QB")</f>
        <v>QB</v>
      </c>
      <c r="B29" s="5" t="str">
        <f>IFERROR(__xludf.DUMMYFUNCTION("""COMPUTED_VALUE"""),"Ken")</f>
        <v>Ken</v>
      </c>
      <c r="C29" s="5" t="str">
        <f>IFERROR(__xludf.DUMMYFUNCTION("""COMPUTED_VALUE"""),"OBrien")</f>
        <v>OBrien</v>
      </c>
      <c r="D29" s="5">
        <f>IFERROR(__xludf.DUMMYFUNCTION("""COMPUTED_VALUE"""),172.0)</f>
        <v>172</v>
      </c>
      <c r="E29" s="5">
        <f>IFERROR(__xludf.DUMMYFUNCTION("""COMPUTED_VALUE"""),127.0)</f>
        <v>127</v>
      </c>
      <c r="F29" s="21">
        <f>IFERROR(__xludf.DUMMYFUNCTION("""COMPUTED_VALUE"""),73.8)</f>
        <v>73.8</v>
      </c>
      <c r="G29" s="5">
        <f>IFERROR(__xludf.DUMMYFUNCTION("""COMPUTED_VALUE"""),4413.0)</f>
        <v>4413</v>
      </c>
      <c r="H29" s="22">
        <f>IFERROR(__xludf.DUMMYFUNCTION("""COMPUTED_VALUE"""),25.6)</f>
        <v>25.6</v>
      </c>
      <c r="I29" s="5">
        <f>IFERROR(__xludf.DUMMYFUNCTION("""COMPUTED_VALUE"""),45.0)</f>
        <v>45</v>
      </c>
      <c r="J29" s="5">
        <f>IFERROR(__xludf.DUMMYFUNCTION("""COMPUTED_VALUE"""),1.0)</f>
        <v>1</v>
      </c>
      <c r="K29" s="22">
        <f>IFERROR(__xludf.DUMMYFUNCTION("""COMPUTED_VALUE"""),255.3)</f>
        <v>255.3</v>
      </c>
      <c r="L29" s="5" t="str">
        <f>IFERROR(__xludf.DUMMYFUNCTION("""COMPUTED_VALUE"""),"JET")</f>
        <v>JET</v>
      </c>
      <c r="M29" s="5" t="str">
        <f>IFERROR(__xludf.DUMMYFUNCTION("""COMPUTED_VALUE"""),"CJ")</f>
        <v>CJ</v>
      </c>
      <c r="N29" s="5">
        <f>IFERROR(__xludf.DUMMYFUNCTION("""COMPUTED_VALUE"""),9.0)</f>
        <v>9</v>
      </c>
      <c r="O29" s="5">
        <f>IFERROR(__xludf.DUMMYFUNCTION("""COMPUTED_VALUE"""),2017.0)</f>
        <v>2017</v>
      </c>
      <c r="P29" s="23" t="str">
        <f>IFERROR(__xludf.DUMMYFUNCTION("""COMPUTED_VALUE"""),"No")</f>
        <v>No</v>
      </c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5" t="str">
        <f>IFERROR(__xludf.DUMMYFUNCTION("""COMPUTED_VALUE"""),"QB")</f>
        <v>QB</v>
      </c>
      <c r="B30" s="5" t="str">
        <f>IFERROR(__xludf.DUMMYFUNCTION("""COMPUTED_VALUE"""),"Simms")</f>
        <v>Simms</v>
      </c>
      <c r="C30" s="5" t="str">
        <f>IFERROR(__xludf.DUMMYFUNCTION("""COMPUTED_VALUE"""),"Phil")</f>
        <v>Phil</v>
      </c>
      <c r="D30" s="5">
        <f>IFERROR(__xludf.DUMMYFUNCTION("""COMPUTED_VALUE"""),182.0)</f>
        <v>182</v>
      </c>
      <c r="E30" s="5">
        <f>IFERROR(__xludf.DUMMYFUNCTION("""COMPUTED_VALUE"""),133.0)</f>
        <v>133</v>
      </c>
      <c r="F30" s="21">
        <f>IFERROR(__xludf.DUMMYFUNCTION("""COMPUTED_VALUE"""),73.0)</f>
        <v>73</v>
      </c>
      <c r="G30" s="5">
        <f>IFERROR(__xludf.DUMMYFUNCTION("""COMPUTED_VALUE"""),4629.0)</f>
        <v>4629</v>
      </c>
      <c r="H30" s="22">
        <f>IFERROR(__xludf.DUMMYFUNCTION("""COMPUTED_VALUE"""),25.4)</f>
        <v>25.4</v>
      </c>
      <c r="I30" s="5">
        <f>IFERROR(__xludf.DUMMYFUNCTION("""COMPUTED_VALUE"""),63.0)</f>
        <v>63</v>
      </c>
      <c r="J30" s="5">
        <f>IFERROR(__xludf.DUMMYFUNCTION("""COMPUTED_VALUE"""),6.0)</f>
        <v>6</v>
      </c>
      <c r="K30" s="22">
        <f>IFERROR(__xludf.DUMMYFUNCTION("""COMPUTED_VALUE"""),270.6)</f>
        <v>270.6</v>
      </c>
      <c r="L30" s="5" t="str">
        <f>IFERROR(__xludf.DUMMYFUNCTION("""COMPUTED_VALUE"""),"GIA")</f>
        <v>GIA</v>
      </c>
      <c r="M30" s="5" t="str">
        <f>IFERROR(__xludf.DUMMYFUNCTION("""COMPUTED_VALUE"""),"PJ")</f>
        <v>PJ</v>
      </c>
      <c r="N30" s="5">
        <f>IFERROR(__xludf.DUMMYFUNCTION("""COMPUTED_VALUE"""),7.0)</f>
        <v>7</v>
      </c>
      <c r="O30" s="5">
        <f>IFERROR(__xludf.DUMMYFUNCTION("""COMPUTED_VALUE"""),2017.0)</f>
        <v>2017</v>
      </c>
      <c r="P30" s="23" t="str">
        <f>IFERROR(__xludf.DUMMYFUNCTION("""COMPUTED_VALUE"""),"No")</f>
        <v>No</v>
      </c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23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9" t="s">
        <v>162</v>
      </c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18" t="str">
        <f>IFERROR(__xludf.DUMMYFUNCTION("query(Passing!A2:P178, ""select * where P = 'No' order by I desc limit 3"",1)"),"POS")</f>
        <v>POS</v>
      </c>
      <c r="B33" s="18" t="str">
        <f>IFERROR(__xludf.DUMMYFUNCTION("""COMPUTED_VALUE"""),"Last Name")</f>
        <v>Last Name</v>
      </c>
      <c r="C33" s="18" t="str">
        <f>IFERROR(__xludf.DUMMYFUNCTION("""COMPUTED_VALUE"""),"First Name")</f>
        <v>First Name</v>
      </c>
      <c r="D33" s="18" t="str">
        <f>IFERROR(__xludf.DUMMYFUNCTION("""COMPUTED_VALUE"""),"ATT")</f>
        <v>ATT</v>
      </c>
      <c r="E33" s="18" t="str">
        <f>IFERROR(__xludf.DUMMYFUNCTION("""COMPUTED_VALUE"""),"COMPS")</f>
        <v>COMPS</v>
      </c>
      <c r="F33" s="18" t="str">
        <f>IFERROR(__xludf.DUMMYFUNCTION("""COMPUTED_VALUE"""),"COMP %")</f>
        <v>COMP %</v>
      </c>
      <c r="G33" s="18" t="str">
        <f>IFERROR(__xludf.DUMMYFUNCTION("""COMPUTED_VALUE"""),"YDS")</f>
        <v>YDS</v>
      </c>
      <c r="H33" s="18" t="str">
        <f>IFERROR(__xludf.DUMMYFUNCTION("""COMPUTED_VALUE"""),"AVG YDS")</f>
        <v>AVG YDS</v>
      </c>
      <c r="I33" s="18" t="str">
        <f>IFERROR(__xludf.DUMMYFUNCTION("""COMPUTED_VALUE"""),"TD")</f>
        <v>TD</v>
      </c>
      <c r="J33" s="18" t="str">
        <f>IFERROR(__xludf.DUMMYFUNCTION("""COMPUTED_VALUE"""),"INT")</f>
        <v>INT</v>
      </c>
      <c r="K33" s="18" t="str">
        <f>IFERROR(__xludf.DUMMYFUNCTION("""COMPUTED_VALUE"""),"RATING")</f>
        <v>RATING</v>
      </c>
      <c r="L33" s="18" t="str">
        <f>IFERROR(__xludf.DUMMYFUNCTION("""COMPUTED_VALUE"""),"Team")</f>
        <v>Team</v>
      </c>
      <c r="M33" s="18" t="str">
        <f>IFERROR(__xludf.DUMMYFUNCTION("""COMPUTED_VALUE"""),"User")</f>
        <v>User</v>
      </c>
      <c r="N33" s="18" t="str">
        <f>IFERROR(__xludf.DUMMYFUNCTION("""COMPUTED_VALUE"""),"Season")</f>
        <v>Season</v>
      </c>
      <c r="O33" s="18" t="str">
        <f>IFERROR(__xludf.DUMMYFUNCTION("""COMPUTED_VALUE"""),"Year")</f>
        <v>Year</v>
      </c>
      <c r="P33" s="19" t="str">
        <f>IFERROR(__xludf.DUMMYFUNCTION("""COMPUTED_VALUE"""),"Solo")</f>
        <v>Solo</v>
      </c>
      <c r="Q33" s="18"/>
      <c r="R33" s="18"/>
      <c r="S33" s="18"/>
      <c r="T33" s="18"/>
      <c r="U33" s="18"/>
      <c r="V33" s="18"/>
      <c r="W33" s="18"/>
      <c r="X33" s="18"/>
      <c r="Y33" s="18"/>
      <c r="Z33" s="18"/>
    </row>
    <row r="34">
      <c r="A34" s="5" t="str">
        <f>IFERROR(__xludf.DUMMYFUNCTION("""COMPUTED_VALUE"""),"QB")</f>
        <v>QB</v>
      </c>
      <c r="B34" s="5" t="str">
        <f>IFERROR(__xludf.DUMMYFUNCTION("""COMPUTED_VALUE"""),"Marino")</f>
        <v>Marino</v>
      </c>
      <c r="C34" s="5" t="str">
        <f>IFERROR(__xludf.DUMMYFUNCTION("""COMPUTED_VALUE"""),"Dan")</f>
        <v>Dan</v>
      </c>
      <c r="D34" s="5">
        <f>IFERROR(__xludf.DUMMYFUNCTION("""COMPUTED_VALUE"""),277.0)</f>
        <v>277</v>
      </c>
      <c r="E34" s="5">
        <f>IFERROR(__xludf.DUMMYFUNCTION("""COMPUTED_VALUE"""),229.0)</f>
        <v>229</v>
      </c>
      <c r="F34" s="21">
        <f>IFERROR(__xludf.DUMMYFUNCTION("""COMPUTED_VALUE"""),82.6)</f>
        <v>82.6</v>
      </c>
      <c r="G34" s="5">
        <f>IFERROR(__xludf.DUMMYFUNCTION("""COMPUTED_VALUE"""),6743.0)</f>
        <v>6743</v>
      </c>
      <c r="H34" s="22">
        <f>IFERROR(__xludf.DUMMYFUNCTION("""COMPUTED_VALUE"""),24.3)</f>
        <v>24.3</v>
      </c>
      <c r="I34" s="5">
        <f>IFERROR(__xludf.DUMMYFUNCTION("""COMPUTED_VALUE"""),110.0)</f>
        <v>110</v>
      </c>
      <c r="J34" s="5">
        <f>IFERROR(__xludf.DUMMYFUNCTION("""COMPUTED_VALUE"""),0.0)</f>
        <v>0</v>
      </c>
      <c r="K34" s="22">
        <f>IFERROR(__xludf.DUMMYFUNCTION("""COMPUTED_VALUE"""),248.1)</f>
        <v>248.1</v>
      </c>
      <c r="L34" s="5" t="str">
        <f>IFERROR(__xludf.DUMMYFUNCTION("""COMPUTED_VALUE"""),"MIA")</f>
        <v>MIA</v>
      </c>
      <c r="M34" s="5" t="str">
        <f>IFERROR(__xludf.DUMMYFUNCTION("""COMPUTED_VALUE"""),"CJ")</f>
        <v>CJ</v>
      </c>
      <c r="N34" s="5">
        <f>IFERROR(__xludf.DUMMYFUNCTION("""COMPUTED_VALUE"""),13.0)</f>
        <v>13</v>
      </c>
      <c r="O34" s="5">
        <f>IFERROR(__xludf.DUMMYFUNCTION("""COMPUTED_VALUE"""),2021.0)</f>
        <v>2021</v>
      </c>
      <c r="P34" s="23" t="str">
        <f>IFERROR(__xludf.DUMMYFUNCTION("""COMPUTED_VALUE"""),"No")</f>
        <v>No</v>
      </c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5" t="str">
        <f>IFERROR(__xludf.DUMMYFUNCTION("""COMPUTED_VALUE"""),"QB")</f>
        <v>QB</v>
      </c>
      <c r="B35" s="5" t="str">
        <f>IFERROR(__xludf.DUMMYFUNCTION("""COMPUTED_VALUE"""),"Moon")</f>
        <v>Moon</v>
      </c>
      <c r="C35" s="5" t="str">
        <f>IFERROR(__xludf.DUMMYFUNCTION("""COMPUTED_VALUE"""),"Warren")</f>
        <v>Warren</v>
      </c>
      <c r="D35" s="5">
        <f>IFERROR(__xludf.DUMMYFUNCTION("""COMPUTED_VALUE"""),316.0)</f>
        <v>316</v>
      </c>
      <c r="E35" s="5">
        <f>IFERROR(__xludf.DUMMYFUNCTION("""COMPUTED_VALUE"""),200.0)</f>
        <v>200</v>
      </c>
      <c r="F35" s="21">
        <f>IFERROR(__xludf.DUMMYFUNCTION("""COMPUTED_VALUE"""),63.2)</f>
        <v>63.2</v>
      </c>
      <c r="G35" s="5">
        <f>IFERROR(__xludf.DUMMYFUNCTION("""COMPUTED_VALUE"""),6365.0)</f>
        <v>6365</v>
      </c>
      <c r="H35" s="22">
        <f>IFERROR(__xludf.DUMMYFUNCTION("""COMPUTED_VALUE"""),20.1)</f>
        <v>20.1</v>
      </c>
      <c r="I35" s="5">
        <f>IFERROR(__xludf.DUMMYFUNCTION("""COMPUTED_VALUE"""),80.0)</f>
        <v>80</v>
      </c>
      <c r="J35" s="5">
        <f>IFERROR(__xludf.DUMMYFUNCTION("""COMPUTED_VALUE"""),6.0)</f>
        <v>6</v>
      </c>
      <c r="K35" s="22">
        <f>IFERROR(__xludf.DUMMYFUNCTION("""COMPUTED_VALUE"""),197.2)</f>
        <v>197.2</v>
      </c>
      <c r="L35" s="5" t="str">
        <f>IFERROR(__xludf.DUMMYFUNCTION("""COMPUTED_VALUE"""),"HOU")</f>
        <v>HOU</v>
      </c>
      <c r="M35" s="5" t="str">
        <f>IFERROR(__xludf.DUMMYFUNCTION("""COMPUTED_VALUE"""),"WB")</f>
        <v>WB</v>
      </c>
      <c r="N35" s="5">
        <f>IFERROR(__xludf.DUMMYFUNCTION("""COMPUTED_VALUE"""),6.0)</f>
        <v>6</v>
      </c>
      <c r="O35" s="5">
        <f>IFERROR(__xludf.DUMMYFUNCTION("""COMPUTED_VALUE"""),2011.0)</f>
        <v>2011</v>
      </c>
      <c r="P35" s="23" t="str">
        <f>IFERROR(__xludf.DUMMYFUNCTION("""COMPUTED_VALUE"""),"No")</f>
        <v>No</v>
      </c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5" t="str">
        <f>IFERROR(__xludf.DUMMYFUNCTION("""COMPUTED_VALUE"""),"QB")</f>
        <v>QB</v>
      </c>
      <c r="B36" s="5" t="str">
        <f>IFERROR(__xludf.DUMMYFUNCTION("""COMPUTED_VALUE"""),"Moon")</f>
        <v>Moon</v>
      </c>
      <c r="C36" s="5" t="str">
        <f>IFERROR(__xludf.DUMMYFUNCTION("""COMPUTED_VALUE"""),"Warren")</f>
        <v>Warren</v>
      </c>
      <c r="D36" s="5">
        <f>IFERROR(__xludf.DUMMYFUNCTION("""COMPUTED_VALUE"""),305.0)</f>
        <v>305</v>
      </c>
      <c r="E36" s="5">
        <f>IFERROR(__xludf.DUMMYFUNCTION("""COMPUTED_VALUE"""),183.0)</f>
        <v>183</v>
      </c>
      <c r="F36" s="21">
        <f>IFERROR(__xludf.DUMMYFUNCTION("""COMPUTED_VALUE"""),60.0)</f>
        <v>60</v>
      </c>
      <c r="G36" s="5">
        <f>IFERROR(__xludf.DUMMYFUNCTION("""COMPUTED_VALUE"""),5822.0)</f>
        <v>5822</v>
      </c>
      <c r="H36" s="22">
        <f>IFERROR(__xludf.DUMMYFUNCTION("""COMPUTED_VALUE"""),19.0)</f>
        <v>19</v>
      </c>
      <c r="I36" s="5">
        <f>IFERROR(__xludf.DUMMYFUNCTION("""COMPUTED_VALUE"""),73.0)</f>
        <v>73</v>
      </c>
      <c r="J36" s="5">
        <f>IFERROR(__xludf.DUMMYFUNCTION("""COMPUTED_VALUE"""),11.0)</f>
        <v>11</v>
      </c>
      <c r="K36" s="22">
        <f>IFERROR(__xludf.DUMMYFUNCTION("""COMPUTED_VALUE"""),185.4)</f>
        <v>185.4</v>
      </c>
      <c r="L36" s="5" t="str">
        <f>IFERROR(__xludf.DUMMYFUNCTION("""COMPUTED_VALUE"""),"HOU")</f>
        <v>HOU</v>
      </c>
      <c r="M36" s="5" t="str">
        <f>IFERROR(__xludf.DUMMYFUNCTION("""COMPUTED_VALUE"""),"WB")</f>
        <v>WB</v>
      </c>
      <c r="N36" s="5">
        <f>IFERROR(__xludf.DUMMYFUNCTION("""COMPUTED_VALUE"""),10.0)</f>
        <v>10</v>
      </c>
      <c r="O36" s="5">
        <f>IFERROR(__xludf.DUMMYFUNCTION("""COMPUTED_VALUE"""),2018.0)</f>
        <v>2018</v>
      </c>
      <c r="P36" s="23" t="str">
        <f>IFERROR(__xludf.DUMMYFUNCTION("""COMPUTED_VALUE"""),"No")</f>
        <v>No</v>
      </c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23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9" t="s">
        <v>198</v>
      </c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18" t="str">
        <f>IFERROR(__xludf.DUMMYFUNCTION("query(Passing!A2:P178, ""select * where P = 'No' order by J asc limit 3"",1)"),"POS")</f>
        <v>POS</v>
      </c>
      <c r="B39" s="18" t="str">
        <f>IFERROR(__xludf.DUMMYFUNCTION("""COMPUTED_VALUE"""),"Last Name")</f>
        <v>Last Name</v>
      </c>
      <c r="C39" s="18" t="str">
        <f>IFERROR(__xludf.DUMMYFUNCTION("""COMPUTED_VALUE"""),"First Name")</f>
        <v>First Name</v>
      </c>
      <c r="D39" s="18" t="str">
        <f>IFERROR(__xludf.DUMMYFUNCTION("""COMPUTED_VALUE"""),"ATT")</f>
        <v>ATT</v>
      </c>
      <c r="E39" s="18" t="str">
        <f>IFERROR(__xludf.DUMMYFUNCTION("""COMPUTED_VALUE"""),"COMPS")</f>
        <v>COMPS</v>
      </c>
      <c r="F39" s="18" t="str">
        <f>IFERROR(__xludf.DUMMYFUNCTION("""COMPUTED_VALUE"""),"COMP %")</f>
        <v>COMP %</v>
      </c>
      <c r="G39" s="18" t="str">
        <f>IFERROR(__xludf.DUMMYFUNCTION("""COMPUTED_VALUE"""),"YDS")</f>
        <v>YDS</v>
      </c>
      <c r="H39" s="18" t="str">
        <f>IFERROR(__xludf.DUMMYFUNCTION("""COMPUTED_VALUE"""),"AVG YDS")</f>
        <v>AVG YDS</v>
      </c>
      <c r="I39" s="18" t="str">
        <f>IFERROR(__xludf.DUMMYFUNCTION("""COMPUTED_VALUE"""),"TD")</f>
        <v>TD</v>
      </c>
      <c r="J39" s="18" t="str">
        <f>IFERROR(__xludf.DUMMYFUNCTION("""COMPUTED_VALUE"""),"INT")</f>
        <v>INT</v>
      </c>
      <c r="K39" s="18" t="str">
        <f>IFERROR(__xludf.DUMMYFUNCTION("""COMPUTED_VALUE"""),"RATING")</f>
        <v>RATING</v>
      </c>
      <c r="L39" s="18" t="str">
        <f>IFERROR(__xludf.DUMMYFUNCTION("""COMPUTED_VALUE"""),"Team")</f>
        <v>Team</v>
      </c>
      <c r="M39" s="18" t="str">
        <f>IFERROR(__xludf.DUMMYFUNCTION("""COMPUTED_VALUE"""),"User")</f>
        <v>User</v>
      </c>
      <c r="N39" s="18" t="str">
        <f>IFERROR(__xludf.DUMMYFUNCTION("""COMPUTED_VALUE"""),"Season")</f>
        <v>Season</v>
      </c>
      <c r="O39" s="18" t="str">
        <f>IFERROR(__xludf.DUMMYFUNCTION("""COMPUTED_VALUE"""),"Year")</f>
        <v>Year</v>
      </c>
      <c r="P39" s="19" t="str">
        <f>IFERROR(__xludf.DUMMYFUNCTION("""COMPUTED_VALUE"""),"Solo")</f>
        <v>Solo</v>
      </c>
      <c r="Q39" s="18"/>
      <c r="R39" s="18"/>
      <c r="S39" s="18"/>
      <c r="T39" s="18"/>
      <c r="U39" s="18"/>
      <c r="V39" s="18"/>
      <c r="W39" s="18"/>
      <c r="X39" s="18"/>
      <c r="Y39" s="18"/>
      <c r="Z39" s="18"/>
    </row>
    <row r="40">
      <c r="A40" s="5" t="str">
        <f>IFERROR(__xludf.DUMMYFUNCTION("""COMPUTED_VALUE"""),"QB")</f>
        <v>QB</v>
      </c>
      <c r="B40" s="5" t="str">
        <f>IFERROR(__xludf.DUMMYFUNCTION("""COMPUTED_VALUE"""),"Marino")</f>
        <v>Marino</v>
      </c>
      <c r="C40" s="5" t="str">
        <f>IFERROR(__xludf.DUMMYFUNCTION("""COMPUTED_VALUE"""),"Dan")</f>
        <v>Dan</v>
      </c>
      <c r="D40" s="5">
        <f>IFERROR(__xludf.DUMMYFUNCTION("""COMPUTED_VALUE"""),277.0)</f>
        <v>277</v>
      </c>
      <c r="E40" s="5">
        <f>IFERROR(__xludf.DUMMYFUNCTION("""COMPUTED_VALUE"""),229.0)</f>
        <v>229</v>
      </c>
      <c r="F40" s="21">
        <f>IFERROR(__xludf.DUMMYFUNCTION("""COMPUTED_VALUE"""),82.6)</f>
        <v>82.6</v>
      </c>
      <c r="G40" s="5">
        <f>IFERROR(__xludf.DUMMYFUNCTION("""COMPUTED_VALUE"""),6743.0)</f>
        <v>6743</v>
      </c>
      <c r="H40" s="22">
        <f>IFERROR(__xludf.DUMMYFUNCTION("""COMPUTED_VALUE"""),24.3)</f>
        <v>24.3</v>
      </c>
      <c r="I40" s="5">
        <f>IFERROR(__xludf.DUMMYFUNCTION("""COMPUTED_VALUE"""),110.0)</f>
        <v>110</v>
      </c>
      <c r="J40" s="5">
        <f>IFERROR(__xludf.DUMMYFUNCTION("""COMPUTED_VALUE"""),0.0)</f>
        <v>0</v>
      </c>
      <c r="K40" s="22">
        <f>IFERROR(__xludf.DUMMYFUNCTION("""COMPUTED_VALUE"""),248.1)</f>
        <v>248.1</v>
      </c>
      <c r="L40" s="5" t="str">
        <f>IFERROR(__xludf.DUMMYFUNCTION("""COMPUTED_VALUE"""),"MIA")</f>
        <v>MIA</v>
      </c>
      <c r="M40" s="5" t="str">
        <f>IFERROR(__xludf.DUMMYFUNCTION("""COMPUTED_VALUE"""),"CJ")</f>
        <v>CJ</v>
      </c>
      <c r="N40" s="5">
        <f>IFERROR(__xludf.DUMMYFUNCTION("""COMPUTED_VALUE"""),13.0)</f>
        <v>13</v>
      </c>
      <c r="O40" s="5">
        <f>IFERROR(__xludf.DUMMYFUNCTION("""COMPUTED_VALUE"""),2021.0)</f>
        <v>2021</v>
      </c>
      <c r="P40" s="23" t="str">
        <f>IFERROR(__xludf.DUMMYFUNCTION("""COMPUTED_VALUE"""),"No")</f>
        <v>No</v>
      </c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5" t="str">
        <f>IFERROR(__xludf.DUMMYFUNCTION("""COMPUTED_VALUE"""),"QB")</f>
        <v>QB</v>
      </c>
      <c r="B41" s="5" t="str">
        <f>IFERROR(__xludf.DUMMYFUNCTION("""COMPUTED_VALUE"""),"Everett")</f>
        <v>Everett</v>
      </c>
      <c r="C41" s="5" t="str">
        <f>IFERROR(__xludf.DUMMYFUNCTION("""COMPUTED_VALUE"""),"Jim")</f>
        <v>Jim</v>
      </c>
      <c r="D41" s="5"/>
      <c r="E41" s="5"/>
      <c r="F41" s="21"/>
      <c r="G41" s="5"/>
      <c r="H41" s="22"/>
      <c r="I41" s="5">
        <f>IFERROR(__xludf.DUMMYFUNCTION("""COMPUTED_VALUE"""),59.0)</f>
        <v>59</v>
      </c>
      <c r="J41" s="5">
        <f>IFERROR(__xludf.DUMMYFUNCTION("""COMPUTED_VALUE"""),1.0)</f>
        <v>1</v>
      </c>
      <c r="K41" s="22">
        <f>IFERROR(__xludf.DUMMYFUNCTION("""COMPUTED_VALUE"""),219.2)</f>
        <v>219.2</v>
      </c>
      <c r="L41" s="5" t="str">
        <f>IFERROR(__xludf.DUMMYFUNCTION("""COMPUTED_VALUE"""),"RAM")</f>
        <v>RAM</v>
      </c>
      <c r="M41" s="5" t="str">
        <f>IFERROR(__xludf.DUMMYFUNCTION("""COMPUTED_VALUE"""),"PJ")</f>
        <v>PJ</v>
      </c>
      <c r="N41" s="5">
        <f>IFERROR(__xludf.DUMMYFUNCTION("""COMPUTED_VALUE"""),3.0)</f>
        <v>3</v>
      </c>
      <c r="O41" s="5">
        <f>IFERROR(__xludf.DUMMYFUNCTION("""COMPUTED_VALUE"""),2009.0)</f>
        <v>2009</v>
      </c>
      <c r="P41" s="23" t="str">
        <f>IFERROR(__xludf.DUMMYFUNCTION("""COMPUTED_VALUE"""),"No")</f>
        <v>No</v>
      </c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5" t="str">
        <f>IFERROR(__xludf.DUMMYFUNCTION("""COMPUTED_VALUE"""),"QB")</f>
        <v>QB</v>
      </c>
      <c r="B42" s="5" t="str">
        <f>IFERROR(__xludf.DUMMYFUNCTION("""COMPUTED_VALUE"""),"Ken")</f>
        <v>Ken</v>
      </c>
      <c r="C42" s="5" t="str">
        <f>IFERROR(__xludf.DUMMYFUNCTION("""COMPUTED_VALUE"""),"OBrien")</f>
        <v>OBrien</v>
      </c>
      <c r="D42" s="5">
        <f>IFERROR(__xludf.DUMMYFUNCTION("""COMPUTED_VALUE"""),172.0)</f>
        <v>172</v>
      </c>
      <c r="E42" s="5">
        <f>IFERROR(__xludf.DUMMYFUNCTION("""COMPUTED_VALUE"""),127.0)</f>
        <v>127</v>
      </c>
      <c r="F42" s="21">
        <f>IFERROR(__xludf.DUMMYFUNCTION("""COMPUTED_VALUE"""),73.8)</f>
        <v>73.8</v>
      </c>
      <c r="G42" s="5">
        <f>IFERROR(__xludf.DUMMYFUNCTION("""COMPUTED_VALUE"""),4413.0)</f>
        <v>4413</v>
      </c>
      <c r="H42" s="22">
        <f>IFERROR(__xludf.DUMMYFUNCTION("""COMPUTED_VALUE"""),25.6)</f>
        <v>25.6</v>
      </c>
      <c r="I42" s="5">
        <f>IFERROR(__xludf.DUMMYFUNCTION("""COMPUTED_VALUE"""),45.0)</f>
        <v>45</v>
      </c>
      <c r="J42" s="5">
        <f>IFERROR(__xludf.DUMMYFUNCTION("""COMPUTED_VALUE"""),1.0)</f>
        <v>1</v>
      </c>
      <c r="K42" s="22">
        <f>IFERROR(__xludf.DUMMYFUNCTION("""COMPUTED_VALUE"""),255.3)</f>
        <v>255.3</v>
      </c>
      <c r="L42" s="5" t="str">
        <f>IFERROR(__xludf.DUMMYFUNCTION("""COMPUTED_VALUE"""),"JET")</f>
        <v>JET</v>
      </c>
      <c r="M42" s="5" t="str">
        <f>IFERROR(__xludf.DUMMYFUNCTION("""COMPUTED_VALUE"""),"CJ")</f>
        <v>CJ</v>
      </c>
      <c r="N42" s="5">
        <f>IFERROR(__xludf.DUMMYFUNCTION("""COMPUTED_VALUE"""),9.0)</f>
        <v>9</v>
      </c>
      <c r="O42" s="5">
        <f>IFERROR(__xludf.DUMMYFUNCTION("""COMPUTED_VALUE"""),2017.0)</f>
        <v>2017</v>
      </c>
      <c r="P42" s="23" t="str">
        <f>IFERROR(__xludf.DUMMYFUNCTION("""COMPUTED_VALUE"""),"No")</f>
        <v>No</v>
      </c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23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9" t="s">
        <v>213</v>
      </c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18" t="str">
        <f>IFERROR(__xludf.DUMMYFUNCTION("query(Passing!A2:P178, ""select * where P = 'No' order by K desc limit 3"",1)"),"POS")</f>
        <v>POS</v>
      </c>
      <c r="B45" s="18" t="str">
        <f>IFERROR(__xludf.DUMMYFUNCTION("""COMPUTED_VALUE"""),"Last Name")</f>
        <v>Last Name</v>
      </c>
      <c r="C45" s="18" t="str">
        <f>IFERROR(__xludf.DUMMYFUNCTION("""COMPUTED_VALUE"""),"First Name")</f>
        <v>First Name</v>
      </c>
      <c r="D45" s="18" t="str">
        <f>IFERROR(__xludf.DUMMYFUNCTION("""COMPUTED_VALUE"""),"ATT")</f>
        <v>ATT</v>
      </c>
      <c r="E45" s="18" t="str">
        <f>IFERROR(__xludf.DUMMYFUNCTION("""COMPUTED_VALUE"""),"COMPS")</f>
        <v>COMPS</v>
      </c>
      <c r="F45" s="18" t="str">
        <f>IFERROR(__xludf.DUMMYFUNCTION("""COMPUTED_VALUE"""),"COMP %")</f>
        <v>COMP %</v>
      </c>
      <c r="G45" s="18" t="str">
        <f>IFERROR(__xludf.DUMMYFUNCTION("""COMPUTED_VALUE"""),"YDS")</f>
        <v>YDS</v>
      </c>
      <c r="H45" s="18" t="str">
        <f>IFERROR(__xludf.DUMMYFUNCTION("""COMPUTED_VALUE"""),"AVG YDS")</f>
        <v>AVG YDS</v>
      </c>
      <c r="I45" s="18" t="str">
        <f>IFERROR(__xludf.DUMMYFUNCTION("""COMPUTED_VALUE"""),"TD")</f>
        <v>TD</v>
      </c>
      <c r="J45" s="18" t="str">
        <f>IFERROR(__xludf.DUMMYFUNCTION("""COMPUTED_VALUE"""),"INT")</f>
        <v>INT</v>
      </c>
      <c r="K45" s="18" t="str">
        <f>IFERROR(__xludf.DUMMYFUNCTION("""COMPUTED_VALUE"""),"RATING")</f>
        <v>RATING</v>
      </c>
      <c r="L45" s="18" t="str">
        <f>IFERROR(__xludf.DUMMYFUNCTION("""COMPUTED_VALUE"""),"Team")</f>
        <v>Team</v>
      </c>
      <c r="M45" s="18" t="str">
        <f>IFERROR(__xludf.DUMMYFUNCTION("""COMPUTED_VALUE"""),"User")</f>
        <v>User</v>
      </c>
      <c r="N45" s="18" t="str">
        <f>IFERROR(__xludf.DUMMYFUNCTION("""COMPUTED_VALUE"""),"Season")</f>
        <v>Season</v>
      </c>
      <c r="O45" s="18" t="str">
        <f>IFERROR(__xludf.DUMMYFUNCTION("""COMPUTED_VALUE"""),"Year")</f>
        <v>Year</v>
      </c>
      <c r="P45" s="19" t="str">
        <f>IFERROR(__xludf.DUMMYFUNCTION("""COMPUTED_VALUE"""),"Solo")</f>
        <v>Solo</v>
      </c>
      <c r="Q45" s="18"/>
      <c r="R45" s="18"/>
      <c r="S45" s="18"/>
      <c r="T45" s="18"/>
      <c r="U45" s="18"/>
      <c r="V45" s="18"/>
      <c r="W45" s="18"/>
      <c r="X45" s="18"/>
      <c r="Y45" s="18"/>
      <c r="Z45" s="18"/>
    </row>
    <row r="46">
      <c r="A46" s="5" t="str">
        <f>IFERROR(__xludf.DUMMYFUNCTION("""COMPUTED_VALUE"""),"QB")</f>
        <v>QB</v>
      </c>
      <c r="B46" s="5" t="str">
        <f>IFERROR(__xludf.DUMMYFUNCTION("""COMPUTED_VALUE"""),"Simms")</f>
        <v>Simms</v>
      </c>
      <c r="C46" s="5" t="str">
        <f>IFERROR(__xludf.DUMMYFUNCTION("""COMPUTED_VALUE"""),"Phil")</f>
        <v>Phil</v>
      </c>
      <c r="D46" s="5">
        <f>IFERROR(__xludf.DUMMYFUNCTION("""COMPUTED_VALUE"""),182.0)</f>
        <v>182</v>
      </c>
      <c r="E46" s="5">
        <f>IFERROR(__xludf.DUMMYFUNCTION("""COMPUTED_VALUE"""),133.0)</f>
        <v>133</v>
      </c>
      <c r="F46" s="21">
        <f>IFERROR(__xludf.DUMMYFUNCTION("""COMPUTED_VALUE"""),73.0)</f>
        <v>73</v>
      </c>
      <c r="G46" s="5">
        <f>IFERROR(__xludf.DUMMYFUNCTION("""COMPUTED_VALUE"""),4629.0)</f>
        <v>4629</v>
      </c>
      <c r="H46" s="22">
        <f>IFERROR(__xludf.DUMMYFUNCTION("""COMPUTED_VALUE"""),25.4)</f>
        <v>25.4</v>
      </c>
      <c r="I46" s="5">
        <f>IFERROR(__xludf.DUMMYFUNCTION("""COMPUTED_VALUE"""),63.0)</f>
        <v>63</v>
      </c>
      <c r="J46" s="5">
        <f>IFERROR(__xludf.DUMMYFUNCTION("""COMPUTED_VALUE"""),6.0)</f>
        <v>6</v>
      </c>
      <c r="K46" s="22">
        <f>IFERROR(__xludf.DUMMYFUNCTION("""COMPUTED_VALUE"""),270.6)</f>
        <v>270.6</v>
      </c>
      <c r="L46" s="5" t="str">
        <f>IFERROR(__xludf.DUMMYFUNCTION("""COMPUTED_VALUE"""),"GIA")</f>
        <v>GIA</v>
      </c>
      <c r="M46" s="5" t="str">
        <f>IFERROR(__xludf.DUMMYFUNCTION("""COMPUTED_VALUE"""),"PJ")</f>
        <v>PJ</v>
      </c>
      <c r="N46" s="5">
        <f>IFERROR(__xludf.DUMMYFUNCTION("""COMPUTED_VALUE"""),7.0)</f>
        <v>7</v>
      </c>
      <c r="O46" s="5">
        <f>IFERROR(__xludf.DUMMYFUNCTION("""COMPUTED_VALUE"""),2017.0)</f>
        <v>2017</v>
      </c>
      <c r="P46" s="23" t="str">
        <f>IFERROR(__xludf.DUMMYFUNCTION("""COMPUTED_VALUE"""),"No")</f>
        <v>No</v>
      </c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5" t="str">
        <f>IFERROR(__xludf.DUMMYFUNCTION("""COMPUTED_VALUE"""),"QB")</f>
        <v>QB</v>
      </c>
      <c r="B47" s="5" t="str">
        <f>IFERROR(__xludf.DUMMYFUNCTION("""COMPUTED_VALUE"""),"Marino")</f>
        <v>Marino</v>
      </c>
      <c r="C47" s="5" t="str">
        <f>IFERROR(__xludf.DUMMYFUNCTION("""COMPUTED_VALUE"""),"Dan")</f>
        <v>Dan</v>
      </c>
      <c r="D47" s="5">
        <f>IFERROR(__xludf.DUMMYFUNCTION("""COMPUTED_VALUE"""),144.0)</f>
        <v>144</v>
      </c>
      <c r="E47" s="5">
        <f>IFERROR(__xludf.DUMMYFUNCTION("""COMPUTED_VALUE"""),113.0)</f>
        <v>113</v>
      </c>
      <c r="F47" s="21">
        <f>IFERROR(__xludf.DUMMYFUNCTION("""COMPUTED_VALUE"""),78.4)</f>
        <v>78.4</v>
      </c>
      <c r="G47" s="5">
        <f>IFERROR(__xludf.DUMMYFUNCTION("""COMPUTED_VALUE"""),3710.0)</f>
        <v>3710</v>
      </c>
      <c r="H47" s="22">
        <f>IFERROR(__xludf.DUMMYFUNCTION("""COMPUTED_VALUE"""),25.7)</f>
        <v>25.7</v>
      </c>
      <c r="I47" s="5">
        <f>IFERROR(__xludf.DUMMYFUNCTION("""COMPUTED_VALUE"""),45.0)</f>
        <v>45</v>
      </c>
      <c r="J47" s="5">
        <f>IFERROR(__xludf.DUMMYFUNCTION("""COMPUTED_VALUE"""),3.0)</f>
        <v>3</v>
      </c>
      <c r="K47" s="22">
        <f>IFERROR(__xludf.DUMMYFUNCTION("""COMPUTED_VALUE"""),270.3)</f>
        <v>270.3</v>
      </c>
      <c r="L47" s="5" t="str">
        <f>IFERROR(__xludf.DUMMYFUNCTION("""COMPUTED_VALUE"""),"MIA")</f>
        <v>MIA</v>
      </c>
      <c r="M47" s="5" t="str">
        <f>IFERROR(__xludf.DUMMYFUNCTION("""COMPUTED_VALUE"""),"MA")</f>
        <v>MA</v>
      </c>
      <c r="N47" s="5">
        <f>IFERROR(__xludf.DUMMYFUNCTION("""COMPUTED_VALUE"""),7.0)</f>
        <v>7</v>
      </c>
      <c r="O47" s="5">
        <f>IFERROR(__xludf.DUMMYFUNCTION("""COMPUTED_VALUE"""),2017.0)</f>
        <v>2017</v>
      </c>
      <c r="P47" s="23" t="str">
        <f>IFERROR(__xludf.DUMMYFUNCTION("""COMPUTED_VALUE"""),"No")</f>
        <v>No</v>
      </c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5" t="str">
        <f>IFERROR(__xludf.DUMMYFUNCTION("""COMPUTED_VALUE"""),"QB")</f>
        <v>QB</v>
      </c>
      <c r="B48" s="5" t="str">
        <f>IFERROR(__xludf.DUMMYFUNCTION("""COMPUTED_VALUE"""),"Simms")</f>
        <v>Simms</v>
      </c>
      <c r="C48" s="5" t="str">
        <f>IFERROR(__xludf.DUMMYFUNCTION("""COMPUTED_VALUE"""),"Phil")</f>
        <v>Phil</v>
      </c>
      <c r="D48" s="5">
        <f>IFERROR(__xludf.DUMMYFUNCTION("""COMPUTED_VALUE"""),195.0)</f>
        <v>195</v>
      </c>
      <c r="E48" s="5">
        <f>IFERROR(__xludf.DUMMYFUNCTION("""COMPUTED_VALUE"""),143.0)</f>
        <v>143</v>
      </c>
      <c r="F48" s="21">
        <f>IFERROR(__xludf.DUMMYFUNCTION("""COMPUTED_VALUE"""),73.3)</f>
        <v>73.3</v>
      </c>
      <c r="G48" s="5">
        <f>IFERROR(__xludf.DUMMYFUNCTION("""COMPUTED_VALUE"""),4696.0)</f>
        <v>4696</v>
      </c>
      <c r="H48" s="22">
        <f>IFERROR(__xludf.DUMMYFUNCTION("""COMPUTED_VALUE"""),24.0)</f>
        <v>24</v>
      </c>
      <c r="I48" s="5">
        <f>IFERROR(__xludf.DUMMYFUNCTION("""COMPUTED_VALUE"""),66.0)</f>
        <v>66</v>
      </c>
      <c r="J48" s="5">
        <f>IFERROR(__xludf.DUMMYFUNCTION("""COMPUTED_VALUE"""),6.0)</f>
        <v>6</v>
      </c>
      <c r="K48" s="22">
        <f>IFERROR(__xludf.DUMMYFUNCTION("""COMPUTED_VALUE"""),258.4)</f>
        <v>258.4</v>
      </c>
      <c r="L48" s="5" t="str">
        <f>IFERROR(__xludf.DUMMYFUNCTION("""COMPUTED_VALUE"""),"GIA")</f>
        <v>GIA</v>
      </c>
      <c r="M48" s="5" t="str">
        <f>IFERROR(__xludf.DUMMYFUNCTION("""COMPUTED_VALUE"""),"PJ")</f>
        <v>PJ</v>
      </c>
      <c r="N48" s="5">
        <f>IFERROR(__xludf.DUMMYFUNCTION("""COMPUTED_VALUE"""),5.0)</f>
        <v>5</v>
      </c>
      <c r="O48" s="5">
        <f>IFERROR(__xludf.DUMMYFUNCTION("""COMPUTED_VALUE"""),2010.0)</f>
        <v>2010</v>
      </c>
      <c r="P48" s="23" t="str">
        <f>IFERROR(__xludf.DUMMYFUNCTION("""COMPUTED_VALUE"""),"No")</f>
        <v>No</v>
      </c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23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2" t="s">
        <v>224</v>
      </c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9" t="s">
        <v>226</v>
      </c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18" t="str">
        <f>IFERROR(__xludf.DUMMYFUNCTION("query(Receiving!A2:L261, ""select * where L = 'No' order by D desc limit 3"",1)"),"POS")</f>
        <v>POS</v>
      </c>
      <c r="B52" s="18" t="str">
        <f>IFERROR(__xludf.DUMMYFUNCTION("""COMPUTED_VALUE"""),"Last Name")</f>
        <v>Last Name</v>
      </c>
      <c r="C52" s="18" t="str">
        <f>IFERROR(__xludf.DUMMYFUNCTION("""COMPUTED_VALUE"""),"First Name")</f>
        <v>First Name</v>
      </c>
      <c r="D52" s="18" t="str">
        <f>IFERROR(__xludf.DUMMYFUNCTION("""COMPUTED_VALUE"""),"REC")</f>
        <v>REC</v>
      </c>
      <c r="E52" s="18" t="str">
        <f>IFERROR(__xludf.DUMMYFUNCTION("""COMPUTED_VALUE"""),"YDS")</f>
        <v>YDS</v>
      </c>
      <c r="F52" s="18" t="str">
        <f>IFERROR(__xludf.DUMMYFUNCTION("""COMPUTED_VALUE"""),"AVG YDS")</f>
        <v>AVG YDS</v>
      </c>
      <c r="G52" s="18" t="str">
        <f>IFERROR(__xludf.DUMMYFUNCTION("""COMPUTED_VALUE"""),"TDs")</f>
        <v>TDs</v>
      </c>
      <c r="H52" s="18" t="str">
        <f>IFERROR(__xludf.DUMMYFUNCTION("""COMPUTED_VALUE"""),"Team")</f>
        <v>Team</v>
      </c>
      <c r="I52" s="18" t="str">
        <f>IFERROR(__xludf.DUMMYFUNCTION("""COMPUTED_VALUE"""),"User")</f>
        <v>User</v>
      </c>
      <c r="J52" s="18" t="str">
        <f>IFERROR(__xludf.DUMMYFUNCTION("""COMPUTED_VALUE"""),"Season")</f>
        <v>Season</v>
      </c>
      <c r="K52" s="18" t="str">
        <f>IFERROR(__xludf.DUMMYFUNCTION("""COMPUTED_VALUE"""),"Year")</f>
        <v>Year</v>
      </c>
      <c r="L52" s="18" t="str">
        <f>IFERROR(__xludf.DUMMYFUNCTION("""COMPUTED_VALUE"""),"Solo")</f>
        <v>Solo</v>
      </c>
      <c r="M52" s="18"/>
      <c r="N52" s="18"/>
      <c r="O52" s="18"/>
      <c r="P52" s="19"/>
      <c r="Q52" s="18"/>
      <c r="R52" s="18"/>
      <c r="S52" s="18"/>
      <c r="T52" s="18"/>
      <c r="U52" s="18"/>
      <c r="V52" s="18"/>
      <c r="W52" s="18"/>
      <c r="X52" s="18"/>
      <c r="Y52" s="18"/>
      <c r="Z52" s="18"/>
    </row>
    <row r="53">
      <c r="A53" s="5" t="str">
        <f>IFERROR(__xludf.DUMMYFUNCTION("""COMPUTED_VALUE"""),"WR")</f>
        <v>WR</v>
      </c>
      <c r="B53" s="5" t="str">
        <f>IFERROR(__xludf.DUMMYFUNCTION("""COMPUTED_VALUE"""),"Hill")</f>
        <v>Hill</v>
      </c>
      <c r="C53" s="5" t="str">
        <f>IFERROR(__xludf.DUMMYFUNCTION("""COMPUTED_VALUE"""),"Drew")</f>
        <v>Drew</v>
      </c>
      <c r="D53" s="5">
        <f>IFERROR(__xludf.DUMMYFUNCTION("""COMPUTED_VALUE"""),86.0)</f>
        <v>86</v>
      </c>
      <c r="E53" s="5">
        <f>IFERROR(__xludf.DUMMYFUNCTION("""COMPUTED_VALUE"""),3881.0)</f>
        <v>3881</v>
      </c>
      <c r="F53" s="22">
        <f>IFERROR(__xludf.DUMMYFUNCTION("""COMPUTED_VALUE"""),45.1)</f>
        <v>45.1</v>
      </c>
      <c r="G53" s="5">
        <f>IFERROR(__xludf.DUMMYFUNCTION("""COMPUTED_VALUE"""),56.0)</f>
        <v>56</v>
      </c>
      <c r="H53" s="5" t="str">
        <f>IFERROR(__xludf.DUMMYFUNCTION("""COMPUTED_VALUE"""),"HOU")</f>
        <v>HOU</v>
      </c>
      <c r="I53" s="5" t="str">
        <f>IFERROR(__xludf.DUMMYFUNCTION("""COMPUTED_VALUE"""),"WB")</f>
        <v>WB</v>
      </c>
      <c r="J53" s="5">
        <f>IFERROR(__xludf.DUMMYFUNCTION("""COMPUTED_VALUE"""),6.0)</f>
        <v>6</v>
      </c>
      <c r="K53" s="5">
        <f>IFERROR(__xludf.DUMMYFUNCTION("""COMPUTED_VALUE"""),2011.0)</f>
        <v>2011</v>
      </c>
      <c r="L53" s="5" t="str">
        <f>IFERROR(__xludf.DUMMYFUNCTION("""COMPUTED_VALUE"""),"No")</f>
        <v>No</v>
      </c>
      <c r="M53" s="5"/>
      <c r="N53" s="5"/>
      <c r="O53" s="5"/>
      <c r="P53" s="23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5" t="str">
        <f>IFERROR(__xludf.DUMMYFUNCTION("""COMPUTED_VALUE"""),"WR")</f>
        <v>WR</v>
      </c>
      <c r="B54" s="5" t="str">
        <f>IFERROR(__xludf.DUMMYFUNCTION("""COMPUTED_VALUE"""),"Hill")</f>
        <v>Hill</v>
      </c>
      <c r="C54" s="5" t="str">
        <f>IFERROR(__xludf.DUMMYFUNCTION("""COMPUTED_VALUE"""),"Drew")</f>
        <v>Drew</v>
      </c>
      <c r="D54" s="5">
        <f>IFERROR(__xludf.DUMMYFUNCTION("""COMPUTED_VALUE"""),84.0)</f>
        <v>84</v>
      </c>
      <c r="E54" s="5">
        <f>IFERROR(__xludf.DUMMYFUNCTION("""COMPUTED_VALUE"""),3345.0)</f>
        <v>3345</v>
      </c>
      <c r="F54" s="22">
        <f>IFERROR(__xludf.DUMMYFUNCTION("""COMPUTED_VALUE"""),39.8)</f>
        <v>39.8</v>
      </c>
      <c r="G54" s="5">
        <f>IFERROR(__xludf.DUMMYFUNCTION("""COMPUTED_VALUE"""),46.0)</f>
        <v>46</v>
      </c>
      <c r="H54" s="5" t="str">
        <f>IFERROR(__xludf.DUMMYFUNCTION("""COMPUTED_VALUE"""),"HOU")</f>
        <v>HOU</v>
      </c>
      <c r="I54" s="5" t="str">
        <f>IFERROR(__xludf.DUMMYFUNCTION("""COMPUTED_VALUE"""),"WB")</f>
        <v>WB</v>
      </c>
      <c r="J54" s="5">
        <f>IFERROR(__xludf.DUMMYFUNCTION("""COMPUTED_VALUE"""),10.0)</f>
        <v>10</v>
      </c>
      <c r="K54" s="5">
        <f>IFERROR(__xludf.DUMMYFUNCTION("""COMPUTED_VALUE"""),2018.0)</f>
        <v>2018</v>
      </c>
      <c r="L54" s="5" t="str">
        <f>IFERROR(__xludf.DUMMYFUNCTION("""COMPUTED_VALUE"""),"No")</f>
        <v>No</v>
      </c>
      <c r="M54" s="5"/>
      <c r="N54" s="5"/>
      <c r="O54" s="5"/>
      <c r="P54" s="23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5" t="str">
        <f>IFERROR(__xludf.DUMMYFUNCTION("""COMPUTED_VALUE"""),"WR")</f>
        <v>WR</v>
      </c>
      <c r="B55" s="5" t="str">
        <f>IFERROR(__xludf.DUMMYFUNCTION("""COMPUTED_VALUE"""),"Blades")</f>
        <v>Blades</v>
      </c>
      <c r="C55" s="5" t="str">
        <f>IFERROR(__xludf.DUMMYFUNCTION("""COMPUTED_VALUE"""),"Brian")</f>
        <v>Brian</v>
      </c>
      <c r="D55" s="5">
        <f>IFERROR(__xludf.DUMMYFUNCTION("""COMPUTED_VALUE"""),75.0)</f>
        <v>75</v>
      </c>
      <c r="E55" s="5">
        <f>IFERROR(__xludf.DUMMYFUNCTION("""COMPUTED_VALUE"""),1734.0)</f>
        <v>1734</v>
      </c>
      <c r="F55" s="22">
        <f>IFERROR(__xludf.DUMMYFUNCTION("""COMPUTED_VALUE"""),23.1)</f>
        <v>23.1</v>
      </c>
      <c r="G55" s="5">
        <f>IFERROR(__xludf.DUMMYFUNCTION("""COMPUTED_VALUE"""),21.0)</f>
        <v>21</v>
      </c>
      <c r="H55" s="5" t="str">
        <f>IFERROR(__xludf.DUMMYFUNCTION("""COMPUTED_VALUE"""),"SEA")</f>
        <v>SEA</v>
      </c>
      <c r="I55" s="5" t="str">
        <f>IFERROR(__xludf.DUMMYFUNCTION("""COMPUTED_VALUE"""),"WB")</f>
        <v>WB</v>
      </c>
      <c r="J55" s="5">
        <f>IFERROR(__xludf.DUMMYFUNCTION("""COMPUTED_VALUE"""),7.0)</f>
        <v>7</v>
      </c>
      <c r="K55" s="5">
        <f>IFERROR(__xludf.DUMMYFUNCTION("""COMPUTED_VALUE"""),2017.0)</f>
        <v>2017</v>
      </c>
      <c r="L55" s="5" t="str">
        <f>IFERROR(__xludf.DUMMYFUNCTION("""COMPUTED_VALUE"""),"No")</f>
        <v>No</v>
      </c>
      <c r="M55" s="5"/>
      <c r="N55" s="5"/>
      <c r="O55" s="5"/>
      <c r="P55" s="23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23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9" t="s">
        <v>233</v>
      </c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18" t="str">
        <f>IFERROR(__xludf.DUMMYFUNCTION("query(Receiving!A2:L261, ""select * where L = 'No' order by E desc limit 3"",1)"),"POS")</f>
        <v>POS</v>
      </c>
      <c r="B58" s="18" t="str">
        <f>IFERROR(__xludf.DUMMYFUNCTION("""COMPUTED_VALUE"""),"Last Name")</f>
        <v>Last Name</v>
      </c>
      <c r="C58" s="18" t="str">
        <f>IFERROR(__xludf.DUMMYFUNCTION("""COMPUTED_VALUE"""),"First Name")</f>
        <v>First Name</v>
      </c>
      <c r="D58" s="18" t="str">
        <f>IFERROR(__xludf.DUMMYFUNCTION("""COMPUTED_VALUE"""),"REC")</f>
        <v>REC</v>
      </c>
      <c r="E58" s="18" t="str">
        <f>IFERROR(__xludf.DUMMYFUNCTION("""COMPUTED_VALUE"""),"YDS")</f>
        <v>YDS</v>
      </c>
      <c r="F58" s="18" t="str">
        <f>IFERROR(__xludf.DUMMYFUNCTION("""COMPUTED_VALUE"""),"AVG YDS")</f>
        <v>AVG YDS</v>
      </c>
      <c r="G58" s="18" t="str">
        <f>IFERROR(__xludf.DUMMYFUNCTION("""COMPUTED_VALUE"""),"TDs")</f>
        <v>TDs</v>
      </c>
      <c r="H58" s="18" t="str">
        <f>IFERROR(__xludf.DUMMYFUNCTION("""COMPUTED_VALUE"""),"Team")</f>
        <v>Team</v>
      </c>
      <c r="I58" s="18" t="str">
        <f>IFERROR(__xludf.DUMMYFUNCTION("""COMPUTED_VALUE"""),"User")</f>
        <v>User</v>
      </c>
      <c r="J58" s="18" t="str">
        <f>IFERROR(__xludf.DUMMYFUNCTION("""COMPUTED_VALUE"""),"Season")</f>
        <v>Season</v>
      </c>
      <c r="K58" s="18" t="str">
        <f>IFERROR(__xludf.DUMMYFUNCTION("""COMPUTED_VALUE"""),"Year")</f>
        <v>Year</v>
      </c>
      <c r="L58" s="18" t="str">
        <f>IFERROR(__xludf.DUMMYFUNCTION("""COMPUTED_VALUE"""),"Solo")</f>
        <v>Solo</v>
      </c>
      <c r="M58" s="18"/>
      <c r="N58" s="18"/>
      <c r="O58" s="18"/>
      <c r="P58" s="19"/>
      <c r="Q58" s="18"/>
      <c r="R58" s="18"/>
      <c r="S58" s="18"/>
      <c r="T58" s="18"/>
      <c r="U58" s="18"/>
      <c r="V58" s="18"/>
      <c r="W58" s="18"/>
      <c r="X58" s="18"/>
      <c r="Y58" s="18"/>
      <c r="Z58" s="18"/>
    </row>
    <row r="59">
      <c r="A59" s="5" t="str">
        <f>IFERROR(__xludf.DUMMYFUNCTION("""COMPUTED_VALUE"""),"WR")</f>
        <v>WR</v>
      </c>
      <c r="B59" s="5" t="str">
        <f>IFERROR(__xludf.DUMMYFUNCTION("""COMPUTED_VALUE"""),"Hill")</f>
        <v>Hill</v>
      </c>
      <c r="C59" s="5" t="str">
        <f>IFERROR(__xludf.DUMMYFUNCTION("""COMPUTED_VALUE"""),"Drew")</f>
        <v>Drew</v>
      </c>
      <c r="D59" s="5">
        <f>IFERROR(__xludf.DUMMYFUNCTION("""COMPUTED_VALUE"""),86.0)</f>
        <v>86</v>
      </c>
      <c r="E59" s="5">
        <f>IFERROR(__xludf.DUMMYFUNCTION("""COMPUTED_VALUE"""),3881.0)</f>
        <v>3881</v>
      </c>
      <c r="F59" s="22">
        <f>IFERROR(__xludf.DUMMYFUNCTION("""COMPUTED_VALUE"""),45.1)</f>
        <v>45.1</v>
      </c>
      <c r="G59" s="5">
        <f>IFERROR(__xludf.DUMMYFUNCTION("""COMPUTED_VALUE"""),56.0)</f>
        <v>56</v>
      </c>
      <c r="H59" s="5" t="str">
        <f>IFERROR(__xludf.DUMMYFUNCTION("""COMPUTED_VALUE"""),"HOU")</f>
        <v>HOU</v>
      </c>
      <c r="I59" s="5" t="str">
        <f>IFERROR(__xludf.DUMMYFUNCTION("""COMPUTED_VALUE"""),"WB")</f>
        <v>WB</v>
      </c>
      <c r="J59" s="5">
        <f>IFERROR(__xludf.DUMMYFUNCTION("""COMPUTED_VALUE"""),6.0)</f>
        <v>6</v>
      </c>
      <c r="K59" s="5">
        <f>IFERROR(__xludf.DUMMYFUNCTION("""COMPUTED_VALUE"""),2011.0)</f>
        <v>2011</v>
      </c>
      <c r="L59" s="5" t="str">
        <f>IFERROR(__xludf.DUMMYFUNCTION("""COMPUTED_VALUE"""),"No")</f>
        <v>No</v>
      </c>
      <c r="M59" s="5"/>
      <c r="N59" s="5"/>
      <c r="O59" s="5"/>
      <c r="P59" s="23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5" t="str">
        <f>IFERROR(__xludf.DUMMYFUNCTION("""COMPUTED_VALUE"""),"WR")</f>
        <v>WR</v>
      </c>
      <c r="B60" s="5" t="str">
        <f>IFERROR(__xludf.DUMMYFUNCTION("""COMPUTED_VALUE"""),"Hill")</f>
        <v>Hill</v>
      </c>
      <c r="C60" s="5" t="str">
        <f>IFERROR(__xludf.DUMMYFUNCTION("""COMPUTED_VALUE"""),"Drew")</f>
        <v>Drew</v>
      </c>
      <c r="D60" s="5">
        <f>IFERROR(__xludf.DUMMYFUNCTION("""COMPUTED_VALUE"""),84.0)</f>
        <v>84</v>
      </c>
      <c r="E60" s="5">
        <f>IFERROR(__xludf.DUMMYFUNCTION("""COMPUTED_VALUE"""),3345.0)</f>
        <v>3345</v>
      </c>
      <c r="F60" s="22">
        <f>IFERROR(__xludf.DUMMYFUNCTION("""COMPUTED_VALUE"""),39.8)</f>
        <v>39.8</v>
      </c>
      <c r="G60" s="5">
        <f>IFERROR(__xludf.DUMMYFUNCTION("""COMPUTED_VALUE"""),46.0)</f>
        <v>46</v>
      </c>
      <c r="H60" s="5" t="str">
        <f>IFERROR(__xludf.DUMMYFUNCTION("""COMPUTED_VALUE"""),"HOU")</f>
        <v>HOU</v>
      </c>
      <c r="I60" s="5" t="str">
        <f>IFERROR(__xludf.DUMMYFUNCTION("""COMPUTED_VALUE"""),"WB")</f>
        <v>WB</v>
      </c>
      <c r="J60" s="5">
        <f>IFERROR(__xludf.DUMMYFUNCTION("""COMPUTED_VALUE"""),10.0)</f>
        <v>10</v>
      </c>
      <c r="K60" s="5">
        <f>IFERROR(__xludf.DUMMYFUNCTION("""COMPUTED_VALUE"""),2018.0)</f>
        <v>2018</v>
      </c>
      <c r="L60" s="5" t="str">
        <f>IFERROR(__xludf.DUMMYFUNCTION("""COMPUTED_VALUE"""),"No")</f>
        <v>No</v>
      </c>
      <c r="M60" s="5"/>
      <c r="N60" s="5"/>
      <c r="O60" s="5"/>
      <c r="P60" s="23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5" t="str">
        <f>IFERROR(__xludf.DUMMYFUNCTION("""COMPUTED_VALUE"""),"WR")</f>
        <v>WR</v>
      </c>
      <c r="B61" s="5" t="str">
        <f>IFERROR(__xludf.DUMMYFUNCTION("""COMPUTED_VALUE"""),"Rice")</f>
        <v>Rice</v>
      </c>
      <c r="C61" s="5" t="str">
        <f>IFERROR(__xludf.DUMMYFUNCTION("""COMPUTED_VALUE"""),"Jerry")</f>
        <v>Jerry</v>
      </c>
      <c r="D61" s="5">
        <f>IFERROR(__xludf.DUMMYFUNCTION("""COMPUTED_VALUE"""),70.0)</f>
        <v>70</v>
      </c>
      <c r="E61" s="5">
        <f>IFERROR(__xludf.DUMMYFUNCTION("""COMPUTED_VALUE"""),3287.0)</f>
        <v>3287</v>
      </c>
      <c r="F61" s="22">
        <f>IFERROR(__xludf.DUMMYFUNCTION("""COMPUTED_VALUE"""),46.9)</f>
        <v>46.9</v>
      </c>
      <c r="G61" s="5">
        <f>IFERROR(__xludf.DUMMYFUNCTION("""COMPUTED_VALUE"""),46.0)</f>
        <v>46</v>
      </c>
      <c r="H61" s="5" t="str">
        <f>IFERROR(__xludf.DUMMYFUNCTION("""COMPUTED_VALUE"""),"SF")</f>
        <v>SF</v>
      </c>
      <c r="I61" s="5" t="str">
        <f>IFERROR(__xludf.DUMMYFUNCTION("""COMPUTED_VALUE"""),"TD")</f>
        <v>TD</v>
      </c>
      <c r="J61" s="5">
        <f>IFERROR(__xludf.DUMMYFUNCTION("""COMPUTED_VALUE"""),10.0)</f>
        <v>10</v>
      </c>
      <c r="K61" s="5">
        <f>IFERROR(__xludf.DUMMYFUNCTION("""COMPUTED_VALUE"""),2018.0)</f>
        <v>2018</v>
      </c>
      <c r="L61" s="5" t="str">
        <f>IFERROR(__xludf.DUMMYFUNCTION("""COMPUTED_VALUE"""),"No")</f>
        <v>No</v>
      </c>
      <c r="M61" s="5"/>
      <c r="N61" s="5"/>
      <c r="O61" s="5"/>
      <c r="P61" s="23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23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9" t="s">
        <v>236</v>
      </c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18" t="str">
        <f>IFERROR(__xludf.DUMMYFUNCTION("query(Receiving!A2:L261, ""select * where L = 'No' order by F desc limit 3"",1)"),"POS")</f>
        <v>POS</v>
      </c>
      <c r="B64" s="18" t="str">
        <f>IFERROR(__xludf.DUMMYFUNCTION("""COMPUTED_VALUE"""),"Last Name")</f>
        <v>Last Name</v>
      </c>
      <c r="C64" s="18" t="str">
        <f>IFERROR(__xludf.DUMMYFUNCTION("""COMPUTED_VALUE"""),"First Name")</f>
        <v>First Name</v>
      </c>
      <c r="D64" s="18" t="str">
        <f>IFERROR(__xludf.DUMMYFUNCTION("""COMPUTED_VALUE"""),"REC")</f>
        <v>REC</v>
      </c>
      <c r="E64" s="18" t="str">
        <f>IFERROR(__xludf.DUMMYFUNCTION("""COMPUTED_VALUE"""),"YDS")</f>
        <v>YDS</v>
      </c>
      <c r="F64" s="18" t="str">
        <f>IFERROR(__xludf.DUMMYFUNCTION("""COMPUTED_VALUE"""),"AVG YDS")</f>
        <v>AVG YDS</v>
      </c>
      <c r="G64" s="18" t="str">
        <f>IFERROR(__xludf.DUMMYFUNCTION("""COMPUTED_VALUE"""),"TDs")</f>
        <v>TDs</v>
      </c>
      <c r="H64" s="18" t="str">
        <f>IFERROR(__xludf.DUMMYFUNCTION("""COMPUTED_VALUE"""),"Team")</f>
        <v>Team</v>
      </c>
      <c r="I64" s="18" t="str">
        <f>IFERROR(__xludf.DUMMYFUNCTION("""COMPUTED_VALUE"""),"User")</f>
        <v>User</v>
      </c>
      <c r="J64" s="18" t="str">
        <f>IFERROR(__xludf.DUMMYFUNCTION("""COMPUTED_VALUE"""),"Season")</f>
        <v>Season</v>
      </c>
      <c r="K64" s="18" t="str">
        <f>IFERROR(__xludf.DUMMYFUNCTION("""COMPUTED_VALUE"""),"Year")</f>
        <v>Year</v>
      </c>
      <c r="L64" s="18" t="str">
        <f>IFERROR(__xludf.DUMMYFUNCTION("""COMPUTED_VALUE"""),"Solo")</f>
        <v>Solo</v>
      </c>
      <c r="M64" s="18"/>
      <c r="N64" s="18"/>
      <c r="O64" s="18"/>
      <c r="P64" s="19"/>
      <c r="Q64" s="18"/>
      <c r="R64" s="18"/>
      <c r="S64" s="18"/>
      <c r="T64" s="18"/>
      <c r="U64" s="18"/>
      <c r="V64" s="18"/>
      <c r="W64" s="18"/>
      <c r="X64" s="18"/>
      <c r="Y64" s="18"/>
      <c r="Z64" s="18"/>
    </row>
    <row r="65">
      <c r="A65" s="5" t="str">
        <f>IFERROR(__xludf.DUMMYFUNCTION("""COMPUTED_VALUE"""),"WR")</f>
        <v>WR</v>
      </c>
      <c r="B65" s="5" t="str">
        <f>IFERROR(__xludf.DUMMYFUNCTION("""COMPUTED_VALUE"""),"Moore")</f>
        <v>Moore</v>
      </c>
      <c r="C65" s="5" t="str">
        <f>IFERROR(__xludf.DUMMYFUNCTION("""COMPUTED_VALUE"""),"Rob")</f>
        <v>Rob</v>
      </c>
      <c r="D65" s="5">
        <f>IFERROR(__xludf.DUMMYFUNCTION("""COMPUTED_VALUE"""),32.0)</f>
        <v>32</v>
      </c>
      <c r="E65" s="5">
        <f>IFERROR(__xludf.DUMMYFUNCTION("""COMPUTED_VALUE"""),1771.0)</f>
        <v>1771</v>
      </c>
      <c r="F65" s="22">
        <f>IFERROR(__xludf.DUMMYFUNCTION("""COMPUTED_VALUE"""),55.3)</f>
        <v>55.3</v>
      </c>
      <c r="G65" s="5">
        <f>IFERROR(__xludf.DUMMYFUNCTION("""COMPUTED_VALUE"""),24.0)</f>
        <v>24</v>
      </c>
      <c r="H65" s="5" t="str">
        <f>IFERROR(__xludf.DUMMYFUNCTION("""COMPUTED_VALUE"""),"JET")</f>
        <v>JET</v>
      </c>
      <c r="I65" s="5" t="str">
        <f>IFERROR(__xludf.DUMMYFUNCTION("""COMPUTED_VALUE"""),"CJ")</f>
        <v>CJ</v>
      </c>
      <c r="J65" s="5">
        <f>IFERROR(__xludf.DUMMYFUNCTION("""COMPUTED_VALUE"""),9.0)</f>
        <v>9</v>
      </c>
      <c r="K65" s="5">
        <f>IFERROR(__xludf.DUMMYFUNCTION("""COMPUTED_VALUE"""),2017.0)</f>
        <v>2017</v>
      </c>
      <c r="L65" s="5" t="str">
        <f>IFERROR(__xludf.DUMMYFUNCTION("""COMPUTED_VALUE"""),"No")</f>
        <v>No</v>
      </c>
      <c r="M65" s="5"/>
      <c r="N65" s="5"/>
      <c r="O65" s="5"/>
      <c r="P65" s="23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5" t="str">
        <f>IFERROR(__xludf.DUMMYFUNCTION("""COMPUTED_VALUE"""),"WR")</f>
        <v>WR</v>
      </c>
      <c r="B66" s="5" t="str">
        <f>IFERROR(__xludf.DUMMYFUNCTION("""COMPUTED_VALUE"""),"Johnson")</f>
        <v>Johnson</v>
      </c>
      <c r="C66" s="5" t="str">
        <f>IFERROR(__xludf.DUMMYFUNCTION("""COMPUTED_VALUE"""),"Vance")</f>
        <v>Vance</v>
      </c>
      <c r="D66" s="5">
        <f>IFERROR(__xludf.DUMMYFUNCTION("""COMPUTED_VALUE"""),19.0)</f>
        <v>19</v>
      </c>
      <c r="E66" s="5">
        <f>IFERROR(__xludf.DUMMYFUNCTION("""COMPUTED_VALUE"""),1021.0)</f>
        <v>1021</v>
      </c>
      <c r="F66" s="22">
        <f>IFERROR(__xludf.DUMMYFUNCTION("""COMPUTED_VALUE"""),53.7)</f>
        <v>53.7</v>
      </c>
      <c r="G66" s="5">
        <f>IFERROR(__xludf.DUMMYFUNCTION("""COMPUTED_VALUE"""),11.0)</f>
        <v>11</v>
      </c>
      <c r="H66" s="5" t="str">
        <f>IFERROR(__xludf.DUMMYFUNCTION("""COMPUTED_VALUE"""),"DEN")</f>
        <v>DEN</v>
      </c>
      <c r="I66" s="5" t="str">
        <f>IFERROR(__xludf.DUMMYFUNCTION("""COMPUTED_VALUE"""),"CR")</f>
        <v>CR</v>
      </c>
      <c r="J66" s="5">
        <f>IFERROR(__xludf.DUMMYFUNCTION("""COMPUTED_VALUE"""),12.0)</f>
        <v>12</v>
      </c>
      <c r="K66" s="5">
        <f>IFERROR(__xludf.DUMMYFUNCTION("""COMPUTED_VALUE"""),2020.0)</f>
        <v>2020</v>
      </c>
      <c r="L66" s="5" t="str">
        <f>IFERROR(__xludf.DUMMYFUNCTION("""COMPUTED_VALUE"""),"No")</f>
        <v>No</v>
      </c>
      <c r="M66" s="5"/>
      <c r="N66" s="5"/>
      <c r="O66" s="5"/>
      <c r="P66" s="23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5" t="str">
        <f>IFERROR(__xludf.DUMMYFUNCTION("""COMPUTED_VALUE"""),"WR")</f>
        <v>WR</v>
      </c>
      <c r="B67" s="5" t="str">
        <f>IFERROR(__xludf.DUMMYFUNCTION("""COMPUTED_VALUE"""),"Reed")</f>
        <v>Reed</v>
      </c>
      <c r="C67" s="5" t="str">
        <f>IFERROR(__xludf.DUMMYFUNCTION("""COMPUTED_VALUE"""),"Andre")</f>
        <v>Andre</v>
      </c>
      <c r="D67" s="5">
        <f>IFERROR(__xludf.DUMMYFUNCTION("""COMPUTED_VALUE"""),62.0)</f>
        <v>62</v>
      </c>
      <c r="E67" s="5">
        <f>IFERROR(__xludf.DUMMYFUNCTION("""COMPUTED_VALUE"""),3257.0)</f>
        <v>3257</v>
      </c>
      <c r="F67" s="22">
        <f>IFERROR(__xludf.DUMMYFUNCTION("""COMPUTED_VALUE"""),52.5)</f>
        <v>52.5</v>
      </c>
      <c r="G67" s="5">
        <f>IFERROR(__xludf.DUMMYFUNCTION("""COMPUTED_VALUE"""),41.0)</f>
        <v>41</v>
      </c>
      <c r="H67" s="5" t="str">
        <f>IFERROR(__xludf.DUMMYFUNCTION("""COMPUTED_VALUE"""),"BUF")</f>
        <v>BUF</v>
      </c>
      <c r="I67" s="5" t="str">
        <f>IFERROR(__xludf.DUMMYFUNCTION("""COMPUTED_VALUE"""),"CR")</f>
        <v>CR</v>
      </c>
      <c r="J67" s="5">
        <f>IFERROR(__xludf.DUMMYFUNCTION("""COMPUTED_VALUE"""),5.0)</f>
        <v>5</v>
      </c>
      <c r="K67" s="5">
        <f>IFERROR(__xludf.DUMMYFUNCTION("""COMPUTED_VALUE"""),2010.0)</f>
        <v>2010</v>
      </c>
      <c r="L67" s="5" t="str">
        <f>IFERROR(__xludf.DUMMYFUNCTION("""COMPUTED_VALUE"""),"No")</f>
        <v>No</v>
      </c>
      <c r="M67" s="5"/>
      <c r="N67" s="5"/>
      <c r="O67" s="5"/>
      <c r="P67" s="23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23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9" t="s">
        <v>240</v>
      </c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18" t="str">
        <f>IFERROR(__xludf.DUMMYFUNCTION("query(Receiving!A2:L261, ""select * where L = 'No' order by G desc limit 3"",1)"),"POS")</f>
        <v>POS</v>
      </c>
      <c r="B70" s="18" t="str">
        <f>IFERROR(__xludf.DUMMYFUNCTION("""COMPUTED_VALUE"""),"Last Name")</f>
        <v>Last Name</v>
      </c>
      <c r="C70" s="18" t="str">
        <f>IFERROR(__xludf.DUMMYFUNCTION("""COMPUTED_VALUE"""),"First Name")</f>
        <v>First Name</v>
      </c>
      <c r="D70" s="18" t="str">
        <f>IFERROR(__xludf.DUMMYFUNCTION("""COMPUTED_VALUE"""),"REC")</f>
        <v>REC</v>
      </c>
      <c r="E70" s="18" t="str">
        <f>IFERROR(__xludf.DUMMYFUNCTION("""COMPUTED_VALUE"""),"YDS")</f>
        <v>YDS</v>
      </c>
      <c r="F70" s="18" t="str">
        <f>IFERROR(__xludf.DUMMYFUNCTION("""COMPUTED_VALUE"""),"AVG YDS")</f>
        <v>AVG YDS</v>
      </c>
      <c r="G70" s="18" t="str">
        <f>IFERROR(__xludf.DUMMYFUNCTION("""COMPUTED_VALUE"""),"TDs")</f>
        <v>TDs</v>
      </c>
      <c r="H70" s="18" t="str">
        <f>IFERROR(__xludf.DUMMYFUNCTION("""COMPUTED_VALUE"""),"Team")</f>
        <v>Team</v>
      </c>
      <c r="I70" s="18" t="str">
        <f>IFERROR(__xludf.DUMMYFUNCTION("""COMPUTED_VALUE"""),"User")</f>
        <v>User</v>
      </c>
      <c r="J70" s="18" t="str">
        <f>IFERROR(__xludf.DUMMYFUNCTION("""COMPUTED_VALUE"""),"Season")</f>
        <v>Season</v>
      </c>
      <c r="K70" s="18" t="str">
        <f>IFERROR(__xludf.DUMMYFUNCTION("""COMPUTED_VALUE"""),"Year")</f>
        <v>Year</v>
      </c>
      <c r="L70" s="18" t="str">
        <f>IFERROR(__xludf.DUMMYFUNCTION("""COMPUTED_VALUE"""),"Solo")</f>
        <v>Solo</v>
      </c>
      <c r="M70" s="18"/>
      <c r="N70" s="18"/>
      <c r="O70" s="18"/>
      <c r="P70" s="19"/>
      <c r="Q70" s="18"/>
      <c r="R70" s="18"/>
      <c r="S70" s="18"/>
      <c r="T70" s="18"/>
      <c r="U70" s="18"/>
      <c r="V70" s="18"/>
      <c r="W70" s="18"/>
      <c r="X70" s="18"/>
      <c r="Y70" s="18"/>
      <c r="Z70" s="18"/>
    </row>
    <row r="71">
      <c r="A71" s="5" t="str">
        <f>IFERROR(__xludf.DUMMYFUNCTION("""COMPUTED_VALUE"""),"WR")</f>
        <v>WR</v>
      </c>
      <c r="B71" s="5" t="str">
        <f>IFERROR(__xludf.DUMMYFUNCTION("""COMPUTED_VALUE"""),"Hill")</f>
        <v>Hill</v>
      </c>
      <c r="C71" s="5" t="str">
        <f>IFERROR(__xludf.DUMMYFUNCTION("""COMPUTED_VALUE"""),"Drew")</f>
        <v>Drew</v>
      </c>
      <c r="D71" s="5">
        <f>IFERROR(__xludf.DUMMYFUNCTION("""COMPUTED_VALUE"""),86.0)</f>
        <v>86</v>
      </c>
      <c r="E71" s="5">
        <f>IFERROR(__xludf.DUMMYFUNCTION("""COMPUTED_VALUE"""),3881.0)</f>
        <v>3881</v>
      </c>
      <c r="F71" s="22">
        <f>IFERROR(__xludf.DUMMYFUNCTION("""COMPUTED_VALUE"""),45.1)</f>
        <v>45.1</v>
      </c>
      <c r="G71" s="5">
        <f>IFERROR(__xludf.DUMMYFUNCTION("""COMPUTED_VALUE"""),56.0)</f>
        <v>56</v>
      </c>
      <c r="H71" s="5" t="str">
        <f>IFERROR(__xludf.DUMMYFUNCTION("""COMPUTED_VALUE"""),"HOU")</f>
        <v>HOU</v>
      </c>
      <c r="I71" s="5" t="str">
        <f>IFERROR(__xludf.DUMMYFUNCTION("""COMPUTED_VALUE"""),"WB")</f>
        <v>WB</v>
      </c>
      <c r="J71" s="5">
        <f>IFERROR(__xludf.DUMMYFUNCTION("""COMPUTED_VALUE"""),6.0)</f>
        <v>6</v>
      </c>
      <c r="K71" s="5">
        <f>IFERROR(__xludf.DUMMYFUNCTION("""COMPUTED_VALUE"""),2011.0)</f>
        <v>2011</v>
      </c>
      <c r="L71" s="5" t="str">
        <f>IFERROR(__xludf.DUMMYFUNCTION("""COMPUTED_VALUE"""),"No")</f>
        <v>No</v>
      </c>
      <c r="M71" s="5"/>
      <c r="N71" s="5"/>
      <c r="O71" s="5"/>
      <c r="P71" s="23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5" t="str">
        <f>IFERROR(__xludf.DUMMYFUNCTION("""COMPUTED_VALUE"""),"WR")</f>
        <v>WR</v>
      </c>
      <c r="B72" s="5" t="str">
        <f>IFERROR(__xludf.DUMMYFUNCTION("""COMPUTED_VALUE"""),"Duper")</f>
        <v>Duper</v>
      </c>
      <c r="C72" s="5" t="str">
        <f>IFERROR(__xludf.DUMMYFUNCTION("""COMPUTED_VALUE"""),"Mark")</f>
        <v>Mark</v>
      </c>
      <c r="D72" s="5">
        <f>IFERROR(__xludf.DUMMYFUNCTION("""COMPUTED_VALUE"""),66.0)</f>
        <v>66</v>
      </c>
      <c r="E72" s="5">
        <f>IFERROR(__xludf.DUMMYFUNCTION("""COMPUTED_VALUE"""),2796.0)</f>
        <v>2796</v>
      </c>
      <c r="F72" s="22">
        <f>IFERROR(__xludf.DUMMYFUNCTION("""COMPUTED_VALUE"""),42.3)</f>
        <v>42.3</v>
      </c>
      <c r="G72" s="5">
        <f>IFERROR(__xludf.DUMMYFUNCTION("""COMPUTED_VALUE"""),56.0)</f>
        <v>56</v>
      </c>
      <c r="H72" s="5" t="str">
        <f>IFERROR(__xludf.DUMMYFUNCTION("""COMPUTED_VALUE"""),"MIA")</f>
        <v>MIA</v>
      </c>
      <c r="I72" s="5" t="str">
        <f>IFERROR(__xludf.DUMMYFUNCTION("""COMPUTED_VALUE"""),"CJ")</f>
        <v>CJ</v>
      </c>
      <c r="J72" s="5">
        <f>IFERROR(__xludf.DUMMYFUNCTION("""COMPUTED_VALUE"""),13.0)</f>
        <v>13</v>
      </c>
      <c r="K72" s="5">
        <f>IFERROR(__xludf.DUMMYFUNCTION("""COMPUTED_VALUE"""),2021.0)</f>
        <v>2021</v>
      </c>
      <c r="L72" s="5" t="str">
        <f>IFERROR(__xludf.DUMMYFUNCTION("""COMPUTED_VALUE"""),"No")</f>
        <v>No</v>
      </c>
      <c r="M72" s="5"/>
      <c r="N72" s="5"/>
      <c r="O72" s="5"/>
      <c r="P72" s="23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5" t="str">
        <f>IFERROR(__xludf.DUMMYFUNCTION("""COMPUTED_VALUE"""),"WR")</f>
        <v>WR</v>
      </c>
      <c r="B73" s="5" t="str">
        <f>IFERROR(__xludf.DUMMYFUNCTION("""COMPUTED_VALUE"""),"Hill")</f>
        <v>Hill</v>
      </c>
      <c r="C73" s="5" t="str">
        <f>IFERROR(__xludf.DUMMYFUNCTION("""COMPUTED_VALUE"""),"Drew")</f>
        <v>Drew</v>
      </c>
      <c r="D73" s="5">
        <f>IFERROR(__xludf.DUMMYFUNCTION("""COMPUTED_VALUE"""),84.0)</f>
        <v>84</v>
      </c>
      <c r="E73" s="5">
        <f>IFERROR(__xludf.DUMMYFUNCTION("""COMPUTED_VALUE"""),3345.0)</f>
        <v>3345</v>
      </c>
      <c r="F73" s="22">
        <f>IFERROR(__xludf.DUMMYFUNCTION("""COMPUTED_VALUE"""),39.8)</f>
        <v>39.8</v>
      </c>
      <c r="G73" s="5">
        <f>IFERROR(__xludf.DUMMYFUNCTION("""COMPUTED_VALUE"""),46.0)</f>
        <v>46</v>
      </c>
      <c r="H73" s="5" t="str">
        <f>IFERROR(__xludf.DUMMYFUNCTION("""COMPUTED_VALUE"""),"HOU")</f>
        <v>HOU</v>
      </c>
      <c r="I73" s="5" t="str">
        <f>IFERROR(__xludf.DUMMYFUNCTION("""COMPUTED_VALUE"""),"WB")</f>
        <v>WB</v>
      </c>
      <c r="J73" s="5">
        <f>IFERROR(__xludf.DUMMYFUNCTION("""COMPUTED_VALUE"""),10.0)</f>
        <v>10</v>
      </c>
      <c r="K73" s="5">
        <f>IFERROR(__xludf.DUMMYFUNCTION("""COMPUTED_VALUE"""),2018.0)</f>
        <v>2018</v>
      </c>
      <c r="L73" s="5" t="str">
        <f>IFERROR(__xludf.DUMMYFUNCTION("""COMPUTED_VALUE"""),"No")</f>
        <v>No</v>
      </c>
      <c r="M73" s="5"/>
      <c r="N73" s="5"/>
      <c r="O73" s="5"/>
      <c r="P73" s="23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23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2" t="s">
        <v>245</v>
      </c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9" t="s">
        <v>246</v>
      </c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18" t="str">
        <f>IFERROR(__xludf.DUMMYFUNCTION("query(Rushing!A2:L246, ""select * where L = 'No' order by E desc limit 3"",1)"),"POS")</f>
        <v>POS</v>
      </c>
      <c r="B77" s="18" t="str">
        <f>IFERROR(__xludf.DUMMYFUNCTION("""COMPUTED_VALUE"""),"Last Name")</f>
        <v>Last Name</v>
      </c>
      <c r="C77" s="18" t="str">
        <f>IFERROR(__xludf.DUMMYFUNCTION("""COMPUTED_VALUE"""),"First Name")</f>
        <v>First Name</v>
      </c>
      <c r="D77" s="18" t="str">
        <f>IFERROR(__xludf.DUMMYFUNCTION("""COMPUTED_VALUE"""),"ATT")</f>
        <v>ATT</v>
      </c>
      <c r="E77" s="18" t="str">
        <f>IFERROR(__xludf.DUMMYFUNCTION("""COMPUTED_VALUE"""),"YDS")</f>
        <v>YDS</v>
      </c>
      <c r="F77" s="18" t="str">
        <f>IFERROR(__xludf.DUMMYFUNCTION("""COMPUTED_VALUE"""),"AVG YDS")</f>
        <v>AVG YDS</v>
      </c>
      <c r="G77" s="18" t="str">
        <f>IFERROR(__xludf.DUMMYFUNCTION("""COMPUTED_VALUE"""),"TD")</f>
        <v>TD</v>
      </c>
      <c r="H77" s="18" t="str">
        <f>IFERROR(__xludf.DUMMYFUNCTION("""COMPUTED_VALUE"""),"Team")</f>
        <v>Team</v>
      </c>
      <c r="I77" s="18" t="str">
        <f>IFERROR(__xludf.DUMMYFUNCTION("""COMPUTED_VALUE"""),"User")</f>
        <v>User</v>
      </c>
      <c r="J77" s="18" t="str">
        <f>IFERROR(__xludf.DUMMYFUNCTION("""COMPUTED_VALUE"""),"Season")</f>
        <v>Season</v>
      </c>
      <c r="K77" s="18" t="str">
        <f>IFERROR(__xludf.DUMMYFUNCTION("""COMPUTED_VALUE"""),"Year")</f>
        <v>Year</v>
      </c>
      <c r="L77" s="18" t="str">
        <f>IFERROR(__xludf.DUMMYFUNCTION("""COMPUTED_VALUE"""),"Solo")</f>
        <v>Solo</v>
      </c>
      <c r="M77" s="18"/>
      <c r="N77" s="18"/>
      <c r="O77" s="18"/>
      <c r="P77" s="19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5" t="str">
        <f>IFERROR(__xludf.DUMMYFUNCTION("""COMPUTED_VALUE"""),"RB")</f>
        <v>RB</v>
      </c>
      <c r="B78" s="5" t="str">
        <f>IFERROR(__xludf.DUMMYFUNCTION("""COMPUTED_VALUE"""),"Sanders")</f>
        <v>Sanders</v>
      </c>
      <c r="C78" s="5" t="str">
        <f>IFERROR(__xludf.DUMMYFUNCTION("""COMPUTED_VALUE"""),"Barry")</f>
        <v>Barry</v>
      </c>
      <c r="D78" s="5">
        <f>IFERROR(__xludf.DUMMYFUNCTION("""COMPUTED_VALUE"""),281.0)</f>
        <v>281</v>
      </c>
      <c r="E78" s="5">
        <f>IFERROR(__xludf.DUMMYFUNCTION("""COMPUTED_VALUE"""),4482.0)</f>
        <v>4482</v>
      </c>
      <c r="F78" s="22">
        <f>IFERROR(__xludf.DUMMYFUNCTION("""COMPUTED_VALUE"""),16.0)</f>
        <v>16</v>
      </c>
      <c r="G78" s="5">
        <f>IFERROR(__xludf.DUMMYFUNCTION("""COMPUTED_VALUE"""),68.0)</f>
        <v>68</v>
      </c>
      <c r="H78" s="5" t="str">
        <f>IFERROR(__xludf.DUMMYFUNCTION("""COMPUTED_VALUE"""),"DET")</f>
        <v>DET</v>
      </c>
      <c r="I78" s="5" t="str">
        <f>IFERROR(__xludf.DUMMYFUNCTION("""COMPUTED_VALUE"""),"MA")</f>
        <v>MA</v>
      </c>
      <c r="J78" s="5">
        <f>IFERROR(__xludf.DUMMYFUNCTION("""COMPUTED_VALUE"""),19.0)</f>
        <v>19</v>
      </c>
      <c r="K78" s="5">
        <f>IFERROR(__xludf.DUMMYFUNCTION("""COMPUTED_VALUE"""),2025.0)</f>
        <v>2025</v>
      </c>
      <c r="L78" s="5" t="str">
        <f>IFERROR(__xludf.DUMMYFUNCTION("""COMPUTED_VALUE"""),"No")</f>
        <v>No</v>
      </c>
      <c r="M78" s="5"/>
      <c r="N78" s="5"/>
      <c r="O78" s="5"/>
      <c r="P78" s="23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5" t="str">
        <f>IFERROR(__xludf.DUMMYFUNCTION("""COMPUTED_VALUE"""),"RB")</f>
        <v>RB</v>
      </c>
      <c r="B79" s="5" t="str">
        <f>IFERROR(__xludf.DUMMYFUNCTION("""COMPUTED_VALUE"""),"Jackson")</f>
        <v>Jackson</v>
      </c>
      <c r="C79" s="5" t="str">
        <f>IFERROR(__xludf.DUMMYFUNCTION("""COMPUTED_VALUE"""),"Bo")</f>
        <v>Bo</v>
      </c>
      <c r="D79" s="5">
        <f>IFERROR(__xludf.DUMMYFUNCTION("""COMPUTED_VALUE"""),255.0)</f>
        <v>255</v>
      </c>
      <c r="E79" s="5">
        <f>IFERROR(__xludf.DUMMYFUNCTION("""COMPUTED_VALUE"""),4081.0)</f>
        <v>4081</v>
      </c>
      <c r="F79" s="22">
        <f>IFERROR(__xludf.DUMMYFUNCTION("""COMPUTED_VALUE"""),16.0)</f>
        <v>16</v>
      </c>
      <c r="G79" s="5">
        <f>IFERROR(__xludf.DUMMYFUNCTION("""COMPUTED_VALUE"""),70.0)</f>
        <v>70</v>
      </c>
      <c r="H79" s="5" t="str">
        <f>IFERROR(__xludf.DUMMYFUNCTION("""COMPUTED_VALUE"""),"RAI")</f>
        <v>RAI</v>
      </c>
      <c r="I79" s="5" t="str">
        <f>IFERROR(__xludf.DUMMYFUNCTION("""COMPUTED_VALUE"""),"PJ")</f>
        <v>PJ</v>
      </c>
      <c r="J79" s="5">
        <f>IFERROR(__xludf.DUMMYFUNCTION("""COMPUTED_VALUE"""),13.0)</f>
        <v>13</v>
      </c>
      <c r="K79" s="5">
        <f>IFERROR(__xludf.DUMMYFUNCTION("""COMPUTED_VALUE"""),2021.0)</f>
        <v>2021</v>
      </c>
      <c r="L79" s="5" t="str">
        <f>IFERROR(__xludf.DUMMYFUNCTION("""COMPUTED_VALUE"""),"No")</f>
        <v>No</v>
      </c>
      <c r="M79" s="5"/>
      <c r="N79" s="5"/>
      <c r="O79" s="5"/>
      <c r="P79" s="23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5" t="str">
        <f>IFERROR(__xludf.DUMMYFUNCTION("""COMPUTED_VALUE"""),"RB")</f>
        <v>RB</v>
      </c>
      <c r="B80" s="5" t="str">
        <f>IFERROR(__xludf.DUMMYFUNCTION("""COMPUTED_VALUE"""),"Sanders")</f>
        <v>Sanders</v>
      </c>
      <c r="C80" s="5" t="str">
        <f>IFERROR(__xludf.DUMMYFUNCTION("""COMPUTED_VALUE"""),"Barry")</f>
        <v>Barry</v>
      </c>
      <c r="D80" s="5">
        <f>IFERROR(__xludf.DUMMYFUNCTION("""COMPUTED_VALUE"""),188.0)</f>
        <v>188</v>
      </c>
      <c r="E80" s="5">
        <f>IFERROR(__xludf.DUMMYFUNCTION("""COMPUTED_VALUE"""),3554.0)</f>
        <v>3554</v>
      </c>
      <c r="F80" s="22">
        <f>IFERROR(__xludf.DUMMYFUNCTION("""COMPUTED_VALUE"""),18.9)</f>
        <v>18.9</v>
      </c>
      <c r="G80" s="5">
        <f>IFERROR(__xludf.DUMMYFUNCTION("""COMPUTED_VALUE"""),58.0)</f>
        <v>58</v>
      </c>
      <c r="H80" s="5" t="str">
        <f>IFERROR(__xludf.DUMMYFUNCTION("""COMPUTED_VALUE"""),"DET")</f>
        <v>DET</v>
      </c>
      <c r="I80" s="5" t="str">
        <f>IFERROR(__xludf.DUMMYFUNCTION("""COMPUTED_VALUE"""),"CJ")</f>
        <v>CJ</v>
      </c>
      <c r="J80" s="5">
        <f>IFERROR(__xludf.DUMMYFUNCTION("""COMPUTED_VALUE"""),7.0)</f>
        <v>7</v>
      </c>
      <c r="K80" s="5">
        <f>IFERROR(__xludf.DUMMYFUNCTION("""COMPUTED_VALUE"""),2017.0)</f>
        <v>2017</v>
      </c>
      <c r="L80" s="5" t="str">
        <f>IFERROR(__xludf.DUMMYFUNCTION("""COMPUTED_VALUE"""),"No")</f>
        <v>No</v>
      </c>
      <c r="M80" s="5"/>
      <c r="N80" s="5"/>
      <c r="O80" s="5"/>
      <c r="P80" s="23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23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9" t="s">
        <v>252</v>
      </c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18" t="str">
        <f>IFERROR(__xludf.DUMMYFUNCTION("query(Rushing!A2:L246, ""select * where L = 'No' order by F desc limit 3"",1)"),"POS")</f>
        <v>POS</v>
      </c>
      <c r="B83" s="18" t="str">
        <f>IFERROR(__xludf.DUMMYFUNCTION("""COMPUTED_VALUE"""),"Last Name")</f>
        <v>Last Name</v>
      </c>
      <c r="C83" s="18" t="str">
        <f>IFERROR(__xludf.DUMMYFUNCTION("""COMPUTED_VALUE"""),"First Name")</f>
        <v>First Name</v>
      </c>
      <c r="D83" s="18" t="str">
        <f>IFERROR(__xludf.DUMMYFUNCTION("""COMPUTED_VALUE"""),"ATT")</f>
        <v>ATT</v>
      </c>
      <c r="E83" s="18" t="str">
        <f>IFERROR(__xludf.DUMMYFUNCTION("""COMPUTED_VALUE"""),"YDS")</f>
        <v>YDS</v>
      </c>
      <c r="F83" s="18" t="str">
        <f>IFERROR(__xludf.DUMMYFUNCTION("""COMPUTED_VALUE"""),"AVG YDS")</f>
        <v>AVG YDS</v>
      </c>
      <c r="G83" s="18" t="str">
        <f>IFERROR(__xludf.DUMMYFUNCTION("""COMPUTED_VALUE"""),"TD")</f>
        <v>TD</v>
      </c>
      <c r="H83" s="18" t="str">
        <f>IFERROR(__xludf.DUMMYFUNCTION("""COMPUTED_VALUE"""),"Team")</f>
        <v>Team</v>
      </c>
      <c r="I83" s="18" t="str">
        <f>IFERROR(__xludf.DUMMYFUNCTION("""COMPUTED_VALUE"""),"User")</f>
        <v>User</v>
      </c>
      <c r="J83" s="18" t="str">
        <f>IFERROR(__xludf.DUMMYFUNCTION("""COMPUTED_VALUE"""),"Season")</f>
        <v>Season</v>
      </c>
      <c r="K83" s="18" t="str">
        <f>IFERROR(__xludf.DUMMYFUNCTION("""COMPUTED_VALUE"""),"Year")</f>
        <v>Year</v>
      </c>
      <c r="L83" s="18" t="str">
        <f>IFERROR(__xludf.DUMMYFUNCTION("""COMPUTED_VALUE"""),"Solo")</f>
        <v>Solo</v>
      </c>
      <c r="M83" s="18"/>
      <c r="N83" s="18"/>
      <c r="O83" s="18"/>
      <c r="P83" s="19"/>
      <c r="Q83" s="18"/>
      <c r="R83" s="18"/>
      <c r="S83" s="18"/>
      <c r="T83" s="18"/>
      <c r="U83" s="18"/>
      <c r="V83" s="18"/>
      <c r="W83" s="18"/>
      <c r="X83" s="18"/>
      <c r="Y83" s="18"/>
      <c r="Z83" s="18"/>
    </row>
    <row r="84">
      <c r="A84" s="5" t="str">
        <f>IFERROR(__xludf.DUMMYFUNCTION("""COMPUTED_VALUE"""),"RB")</f>
        <v>RB</v>
      </c>
      <c r="B84" s="5" t="str">
        <f>IFERROR(__xludf.DUMMYFUNCTION("""COMPUTED_VALUE"""),"Sanders")</f>
        <v>Sanders</v>
      </c>
      <c r="C84" s="5" t="str">
        <f>IFERROR(__xludf.DUMMYFUNCTION("""COMPUTED_VALUE"""),"Barry")</f>
        <v>Barry</v>
      </c>
      <c r="D84" s="5">
        <f>IFERROR(__xludf.DUMMYFUNCTION("""COMPUTED_VALUE"""),188.0)</f>
        <v>188</v>
      </c>
      <c r="E84" s="5">
        <f>IFERROR(__xludf.DUMMYFUNCTION("""COMPUTED_VALUE"""),3554.0)</f>
        <v>3554</v>
      </c>
      <c r="F84" s="22">
        <f>IFERROR(__xludf.DUMMYFUNCTION("""COMPUTED_VALUE"""),18.9)</f>
        <v>18.9</v>
      </c>
      <c r="G84" s="5">
        <f>IFERROR(__xludf.DUMMYFUNCTION("""COMPUTED_VALUE"""),58.0)</f>
        <v>58</v>
      </c>
      <c r="H84" s="5" t="str">
        <f>IFERROR(__xludf.DUMMYFUNCTION("""COMPUTED_VALUE"""),"DET")</f>
        <v>DET</v>
      </c>
      <c r="I84" s="5" t="str">
        <f>IFERROR(__xludf.DUMMYFUNCTION("""COMPUTED_VALUE"""),"CJ")</f>
        <v>CJ</v>
      </c>
      <c r="J84" s="5">
        <f>IFERROR(__xludf.DUMMYFUNCTION("""COMPUTED_VALUE"""),7.0)</f>
        <v>7</v>
      </c>
      <c r="K84" s="5">
        <f>IFERROR(__xludf.DUMMYFUNCTION("""COMPUTED_VALUE"""),2017.0)</f>
        <v>2017</v>
      </c>
      <c r="L84" s="5" t="str">
        <f>IFERROR(__xludf.DUMMYFUNCTION("""COMPUTED_VALUE"""),"No")</f>
        <v>No</v>
      </c>
      <c r="M84" s="5"/>
      <c r="N84" s="5"/>
      <c r="O84" s="5"/>
      <c r="P84" s="23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5" t="str">
        <f>IFERROR(__xludf.DUMMYFUNCTION("""COMPUTED_VALUE"""),"RB")</f>
        <v>RB</v>
      </c>
      <c r="B85" s="5" t="str">
        <f>IFERROR(__xludf.DUMMYFUNCTION("""COMPUTED_VALUE"""),"Jackson")</f>
        <v>Jackson</v>
      </c>
      <c r="C85" s="5" t="str">
        <f>IFERROR(__xludf.DUMMYFUNCTION("""COMPUTED_VALUE"""),"Bo")</f>
        <v>Bo</v>
      </c>
      <c r="D85" s="5">
        <f>IFERROR(__xludf.DUMMYFUNCTION("""COMPUTED_VALUE"""),255.0)</f>
        <v>255</v>
      </c>
      <c r="E85" s="5">
        <f>IFERROR(__xludf.DUMMYFUNCTION("""COMPUTED_VALUE"""),4081.0)</f>
        <v>4081</v>
      </c>
      <c r="F85" s="22">
        <f>IFERROR(__xludf.DUMMYFUNCTION("""COMPUTED_VALUE"""),16.0)</f>
        <v>16</v>
      </c>
      <c r="G85" s="5">
        <f>IFERROR(__xludf.DUMMYFUNCTION("""COMPUTED_VALUE"""),70.0)</f>
        <v>70</v>
      </c>
      <c r="H85" s="5" t="str">
        <f>IFERROR(__xludf.DUMMYFUNCTION("""COMPUTED_VALUE"""),"RAI")</f>
        <v>RAI</v>
      </c>
      <c r="I85" s="5" t="str">
        <f>IFERROR(__xludf.DUMMYFUNCTION("""COMPUTED_VALUE"""),"PJ")</f>
        <v>PJ</v>
      </c>
      <c r="J85" s="5">
        <f>IFERROR(__xludf.DUMMYFUNCTION("""COMPUTED_VALUE"""),13.0)</f>
        <v>13</v>
      </c>
      <c r="K85" s="5">
        <f>IFERROR(__xludf.DUMMYFUNCTION("""COMPUTED_VALUE"""),2021.0)</f>
        <v>2021</v>
      </c>
      <c r="L85" s="5" t="str">
        <f>IFERROR(__xludf.DUMMYFUNCTION("""COMPUTED_VALUE"""),"No")</f>
        <v>No</v>
      </c>
      <c r="M85" s="5"/>
      <c r="N85" s="5"/>
      <c r="O85" s="5"/>
      <c r="P85" s="23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5" t="str">
        <f>IFERROR(__xludf.DUMMYFUNCTION("""COMPUTED_VALUE"""),"RB")</f>
        <v>RB</v>
      </c>
      <c r="B86" s="5" t="str">
        <f>IFERROR(__xludf.DUMMYFUNCTION("""COMPUTED_VALUE"""),"Sanders")</f>
        <v>Sanders</v>
      </c>
      <c r="C86" s="5" t="str">
        <f>IFERROR(__xludf.DUMMYFUNCTION("""COMPUTED_VALUE"""),"Barry")</f>
        <v>Barry</v>
      </c>
      <c r="D86" s="5">
        <f>IFERROR(__xludf.DUMMYFUNCTION("""COMPUTED_VALUE"""),281.0)</f>
        <v>281</v>
      </c>
      <c r="E86" s="5">
        <f>IFERROR(__xludf.DUMMYFUNCTION("""COMPUTED_VALUE"""),4482.0)</f>
        <v>4482</v>
      </c>
      <c r="F86" s="22">
        <f>IFERROR(__xludf.DUMMYFUNCTION("""COMPUTED_VALUE"""),16.0)</f>
        <v>16</v>
      </c>
      <c r="G86" s="5">
        <f>IFERROR(__xludf.DUMMYFUNCTION("""COMPUTED_VALUE"""),68.0)</f>
        <v>68</v>
      </c>
      <c r="H86" s="5" t="str">
        <f>IFERROR(__xludf.DUMMYFUNCTION("""COMPUTED_VALUE"""),"DET")</f>
        <v>DET</v>
      </c>
      <c r="I86" s="5" t="str">
        <f>IFERROR(__xludf.DUMMYFUNCTION("""COMPUTED_VALUE"""),"MA")</f>
        <v>MA</v>
      </c>
      <c r="J86" s="5">
        <f>IFERROR(__xludf.DUMMYFUNCTION("""COMPUTED_VALUE"""),19.0)</f>
        <v>19</v>
      </c>
      <c r="K86" s="5">
        <f>IFERROR(__xludf.DUMMYFUNCTION("""COMPUTED_VALUE"""),2025.0)</f>
        <v>2025</v>
      </c>
      <c r="L86" s="5" t="str">
        <f>IFERROR(__xludf.DUMMYFUNCTION("""COMPUTED_VALUE"""),"No")</f>
        <v>No</v>
      </c>
      <c r="M86" s="5"/>
      <c r="N86" s="5"/>
      <c r="O86" s="5"/>
      <c r="P86" s="23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23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9" t="s">
        <v>261</v>
      </c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18" t="str">
        <f>IFERROR(__xludf.DUMMYFUNCTION("query(Rushing!A2:L246, ""select * where L = 'No' order by G desc limit 3"",1)"),"POS")</f>
        <v>POS</v>
      </c>
      <c r="B89" s="18" t="str">
        <f>IFERROR(__xludf.DUMMYFUNCTION("""COMPUTED_VALUE"""),"Last Name")</f>
        <v>Last Name</v>
      </c>
      <c r="C89" s="18" t="str">
        <f>IFERROR(__xludf.DUMMYFUNCTION("""COMPUTED_VALUE"""),"First Name")</f>
        <v>First Name</v>
      </c>
      <c r="D89" s="18" t="str">
        <f>IFERROR(__xludf.DUMMYFUNCTION("""COMPUTED_VALUE"""),"ATT")</f>
        <v>ATT</v>
      </c>
      <c r="E89" s="18" t="str">
        <f>IFERROR(__xludf.DUMMYFUNCTION("""COMPUTED_VALUE"""),"YDS")</f>
        <v>YDS</v>
      </c>
      <c r="F89" s="18" t="str">
        <f>IFERROR(__xludf.DUMMYFUNCTION("""COMPUTED_VALUE"""),"AVG YDS")</f>
        <v>AVG YDS</v>
      </c>
      <c r="G89" s="18" t="str">
        <f>IFERROR(__xludf.DUMMYFUNCTION("""COMPUTED_VALUE"""),"TD")</f>
        <v>TD</v>
      </c>
      <c r="H89" s="18" t="str">
        <f>IFERROR(__xludf.DUMMYFUNCTION("""COMPUTED_VALUE"""),"Team")</f>
        <v>Team</v>
      </c>
      <c r="I89" s="18" t="str">
        <f>IFERROR(__xludf.DUMMYFUNCTION("""COMPUTED_VALUE"""),"User")</f>
        <v>User</v>
      </c>
      <c r="J89" s="18" t="str">
        <f>IFERROR(__xludf.DUMMYFUNCTION("""COMPUTED_VALUE"""),"Season")</f>
        <v>Season</v>
      </c>
      <c r="K89" s="18" t="str">
        <f>IFERROR(__xludf.DUMMYFUNCTION("""COMPUTED_VALUE"""),"Year")</f>
        <v>Year</v>
      </c>
      <c r="L89" s="18" t="str">
        <f>IFERROR(__xludf.DUMMYFUNCTION("""COMPUTED_VALUE"""),"Solo")</f>
        <v>Solo</v>
      </c>
      <c r="M89" s="18"/>
      <c r="N89" s="18"/>
      <c r="O89" s="18"/>
      <c r="P89" s="19"/>
      <c r="Q89" s="18"/>
      <c r="R89" s="18"/>
      <c r="S89" s="18"/>
      <c r="T89" s="18"/>
      <c r="U89" s="18"/>
      <c r="V89" s="18"/>
      <c r="W89" s="18"/>
      <c r="X89" s="18"/>
      <c r="Y89" s="18"/>
      <c r="Z89" s="18"/>
    </row>
    <row r="90">
      <c r="A90" s="5" t="str">
        <f>IFERROR(__xludf.DUMMYFUNCTION("""COMPUTED_VALUE"""),"RB")</f>
        <v>RB</v>
      </c>
      <c r="B90" s="5" t="str">
        <f>IFERROR(__xludf.DUMMYFUNCTION("""COMPUTED_VALUE"""),"Jackson")</f>
        <v>Jackson</v>
      </c>
      <c r="C90" s="5" t="str">
        <f>IFERROR(__xludf.DUMMYFUNCTION("""COMPUTED_VALUE"""),"Bo")</f>
        <v>Bo</v>
      </c>
      <c r="D90" s="5">
        <f>IFERROR(__xludf.DUMMYFUNCTION("""COMPUTED_VALUE"""),255.0)</f>
        <v>255</v>
      </c>
      <c r="E90" s="5">
        <f>IFERROR(__xludf.DUMMYFUNCTION("""COMPUTED_VALUE"""),4081.0)</f>
        <v>4081</v>
      </c>
      <c r="F90" s="22">
        <f>IFERROR(__xludf.DUMMYFUNCTION("""COMPUTED_VALUE"""),16.0)</f>
        <v>16</v>
      </c>
      <c r="G90" s="5">
        <f>IFERROR(__xludf.DUMMYFUNCTION("""COMPUTED_VALUE"""),70.0)</f>
        <v>70</v>
      </c>
      <c r="H90" s="5" t="str">
        <f>IFERROR(__xludf.DUMMYFUNCTION("""COMPUTED_VALUE"""),"RAI")</f>
        <v>RAI</v>
      </c>
      <c r="I90" s="5" t="str">
        <f>IFERROR(__xludf.DUMMYFUNCTION("""COMPUTED_VALUE"""),"PJ")</f>
        <v>PJ</v>
      </c>
      <c r="J90" s="5">
        <f>IFERROR(__xludf.DUMMYFUNCTION("""COMPUTED_VALUE"""),13.0)</f>
        <v>13</v>
      </c>
      <c r="K90" s="5">
        <f>IFERROR(__xludf.DUMMYFUNCTION("""COMPUTED_VALUE"""),2021.0)</f>
        <v>2021</v>
      </c>
      <c r="L90" s="5" t="str">
        <f>IFERROR(__xludf.DUMMYFUNCTION("""COMPUTED_VALUE"""),"No")</f>
        <v>No</v>
      </c>
      <c r="M90" s="5"/>
      <c r="N90" s="5"/>
      <c r="O90" s="5"/>
      <c r="P90" s="23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5" t="str">
        <f>IFERROR(__xludf.DUMMYFUNCTION("""COMPUTED_VALUE"""),"RB")</f>
        <v>RB</v>
      </c>
      <c r="B91" s="5" t="str">
        <f>IFERROR(__xludf.DUMMYFUNCTION("""COMPUTED_VALUE"""),"Anderson")</f>
        <v>Anderson</v>
      </c>
      <c r="C91" s="5" t="str">
        <f>IFERROR(__xludf.DUMMYFUNCTION("""COMPUTED_VALUE"""),"Neal")</f>
        <v>Neal</v>
      </c>
      <c r="D91" s="5">
        <f>IFERROR(__xludf.DUMMYFUNCTION("""COMPUTED_VALUE"""),255.0)</f>
        <v>255</v>
      </c>
      <c r="E91" s="5">
        <f>IFERROR(__xludf.DUMMYFUNCTION("""COMPUTED_VALUE"""),3294.0)</f>
        <v>3294</v>
      </c>
      <c r="F91" s="22">
        <f>IFERROR(__xludf.DUMMYFUNCTION("""COMPUTED_VALUE"""),12.9)</f>
        <v>12.9</v>
      </c>
      <c r="G91" s="5">
        <f>IFERROR(__xludf.DUMMYFUNCTION("""COMPUTED_VALUE"""),68.0)</f>
        <v>68</v>
      </c>
      <c r="H91" s="5" t="str">
        <f>IFERROR(__xludf.DUMMYFUNCTION("""COMPUTED_VALUE"""),"CHI")</f>
        <v>CHI</v>
      </c>
      <c r="I91" s="5" t="str">
        <f>IFERROR(__xludf.DUMMYFUNCTION("""COMPUTED_VALUE"""),"CJ")</f>
        <v>CJ</v>
      </c>
      <c r="J91" s="5">
        <f>IFERROR(__xludf.DUMMYFUNCTION("""COMPUTED_VALUE"""),6.0)</f>
        <v>6</v>
      </c>
      <c r="K91" s="5">
        <f>IFERROR(__xludf.DUMMYFUNCTION("""COMPUTED_VALUE"""),2011.0)</f>
        <v>2011</v>
      </c>
      <c r="L91" s="5" t="str">
        <f>IFERROR(__xludf.DUMMYFUNCTION("""COMPUTED_VALUE"""),"No")</f>
        <v>No</v>
      </c>
      <c r="M91" s="5"/>
      <c r="N91" s="5"/>
      <c r="O91" s="5"/>
      <c r="P91" s="23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5" t="str">
        <f>IFERROR(__xludf.DUMMYFUNCTION("""COMPUTED_VALUE"""),"RB")</f>
        <v>RB</v>
      </c>
      <c r="B92" s="5" t="str">
        <f>IFERROR(__xludf.DUMMYFUNCTION("""COMPUTED_VALUE"""),"Sanders")</f>
        <v>Sanders</v>
      </c>
      <c r="C92" s="5" t="str">
        <f>IFERROR(__xludf.DUMMYFUNCTION("""COMPUTED_VALUE"""),"Barry")</f>
        <v>Barry</v>
      </c>
      <c r="D92" s="5">
        <f>IFERROR(__xludf.DUMMYFUNCTION("""COMPUTED_VALUE"""),281.0)</f>
        <v>281</v>
      </c>
      <c r="E92" s="5">
        <f>IFERROR(__xludf.DUMMYFUNCTION("""COMPUTED_VALUE"""),4482.0)</f>
        <v>4482</v>
      </c>
      <c r="F92" s="22">
        <f>IFERROR(__xludf.DUMMYFUNCTION("""COMPUTED_VALUE"""),16.0)</f>
        <v>16</v>
      </c>
      <c r="G92" s="5">
        <f>IFERROR(__xludf.DUMMYFUNCTION("""COMPUTED_VALUE"""),68.0)</f>
        <v>68</v>
      </c>
      <c r="H92" s="5" t="str">
        <f>IFERROR(__xludf.DUMMYFUNCTION("""COMPUTED_VALUE"""),"DET")</f>
        <v>DET</v>
      </c>
      <c r="I92" s="5" t="str">
        <f>IFERROR(__xludf.DUMMYFUNCTION("""COMPUTED_VALUE"""),"MA")</f>
        <v>MA</v>
      </c>
      <c r="J92" s="5">
        <f>IFERROR(__xludf.DUMMYFUNCTION("""COMPUTED_VALUE"""),19.0)</f>
        <v>19</v>
      </c>
      <c r="K92" s="5">
        <f>IFERROR(__xludf.DUMMYFUNCTION("""COMPUTED_VALUE"""),2025.0)</f>
        <v>2025</v>
      </c>
      <c r="L92" s="5" t="str">
        <f>IFERROR(__xludf.DUMMYFUNCTION("""COMPUTED_VALUE"""),"No")</f>
        <v>No</v>
      </c>
      <c r="M92" s="5"/>
      <c r="N92" s="5"/>
      <c r="O92" s="5"/>
      <c r="P92" s="23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23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2" t="s">
        <v>274</v>
      </c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9" t="s">
        <v>276</v>
      </c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18" t="str">
        <f>IFERROR(__xludf.DUMMYFUNCTION("query(Scoring!A2:I245, ""select * where I = 'No' order by D desc limit 3"",1)"),"POS")</f>
        <v>POS</v>
      </c>
      <c r="B96" s="18" t="str">
        <f>IFERROR(__xludf.DUMMYFUNCTION("""COMPUTED_VALUE"""),"Last Name")</f>
        <v>Last Name</v>
      </c>
      <c r="C96" s="18" t="str">
        <f>IFERROR(__xludf.DUMMYFUNCTION("""COMPUTED_VALUE"""),"First Name")</f>
        <v>First Name</v>
      </c>
      <c r="D96" s="18" t="str">
        <f>IFERROR(__xludf.DUMMYFUNCTION("""COMPUTED_VALUE"""),"POINTS")</f>
        <v>POINTS</v>
      </c>
      <c r="E96" s="18" t="str">
        <f>IFERROR(__xludf.DUMMYFUNCTION("""COMPUTED_VALUE"""),"Team")</f>
        <v>Team</v>
      </c>
      <c r="F96" s="18" t="str">
        <f>IFERROR(__xludf.DUMMYFUNCTION("""COMPUTED_VALUE"""),"User")</f>
        <v>User</v>
      </c>
      <c r="G96" s="18" t="str">
        <f>IFERROR(__xludf.DUMMYFUNCTION("""COMPUTED_VALUE"""),"Season")</f>
        <v>Season</v>
      </c>
      <c r="H96" s="18" t="str">
        <f>IFERROR(__xludf.DUMMYFUNCTION("""COMPUTED_VALUE"""),"Year")</f>
        <v>Year</v>
      </c>
      <c r="I96" s="18" t="str">
        <f>IFERROR(__xludf.DUMMYFUNCTION("""COMPUTED_VALUE"""),"Solo")</f>
        <v>Solo</v>
      </c>
      <c r="J96" s="18"/>
      <c r="K96" s="18"/>
      <c r="L96" s="18"/>
      <c r="M96" s="18"/>
      <c r="N96" s="18"/>
      <c r="O96" s="18"/>
      <c r="P96" s="19"/>
      <c r="Q96" s="18"/>
      <c r="R96" s="18"/>
      <c r="S96" s="18"/>
      <c r="T96" s="18"/>
      <c r="U96" s="18"/>
      <c r="V96" s="18"/>
      <c r="W96" s="18"/>
      <c r="X96" s="18"/>
      <c r="Y96" s="18"/>
      <c r="Z96" s="18"/>
    </row>
    <row r="97">
      <c r="A97" s="5" t="str">
        <f>IFERROR(__xludf.DUMMYFUNCTION("""COMPUTED_VALUE"""),"RB")</f>
        <v>RB</v>
      </c>
      <c r="B97" s="5" t="str">
        <f>IFERROR(__xludf.DUMMYFUNCTION("""COMPUTED_VALUE"""),"Jackson")</f>
        <v>Jackson</v>
      </c>
      <c r="C97" s="5" t="str">
        <f>IFERROR(__xludf.DUMMYFUNCTION("""COMPUTED_VALUE"""),"Bo")</f>
        <v>Bo</v>
      </c>
      <c r="D97" s="5">
        <f>IFERROR(__xludf.DUMMYFUNCTION("""COMPUTED_VALUE"""),420.0)</f>
        <v>420</v>
      </c>
      <c r="E97" s="5" t="str">
        <f>IFERROR(__xludf.DUMMYFUNCTION("""COMPUTED_VALUE"""),"RAI")</f>
        <v>RAI</v>
      </c>
      <c r="F97" s="5" t="str">
        <f>IFERROR(__xludf.DUMMYFUNCTION("""COMPUTED_VALUE"""),"PJ")</f>
        <v>PJ</v>
      </c>
      <c r="G97" s="5">
        <f>IFERROR(__xludf.DUMMYFUNCTION("""COMPUTED_VALUE"""),13.0)</f>
        <v>13</v>
      </c>
      <c r="H97" s="5">
        <f>IFERROR(__xludf.DUMMYFUNCTION("""COMPUTED_VALUE"""),2021.0)</f>
        <v>2021</v>
      </c>
      <c r="I97" s="5" t="str">
        <f>IFERROR(__xludf.DUMMYFUNCTION("""COMPUTED_VALUE"""),"No")</f>
        <v>No</v>
      </c>
      <c r="J97" s="5"/>
      <c r="K97" s="5"/>
      <c r="L97" s="5"/>
      <c r="M97" s="5"/>
      <c r="N97" s="5"/>
      <c r="O97" s="5"/>
      <c r="P97" s="23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5" t="str">
        <f>IFERROR(__xludf.DUMMYFUNCTION("""COMPUTED_VALUE"""),"RB")</f>
        <v>RB</v>
      </c>
      <c r="B98" s="5" t="str">
        <f>IFERROR(__xludf.DUMMYFUNCTION("""COMPUTED_VALUE"""),"Anderson")</f>
        <v>Anderson</v>
      </c>
      <c r="C98" s="5" t="str">
        <f>IFERROR(__xludf.DUMMYFUNCTION("""COMPUTED_VALUE"""),"Neal")</f>
        <v>Neal</v>
      </c>
      <c r="D98" s="5">
        <f>IFERROR(__xludf.DUMMYFUNCTION("""COMPUTED_VALUE"""),408.0)</f>
        <v>408</v>
      </c>
      <c r="E98" s="5" t="str">
        <f>IFERROR(__xludf.DUMMYFUNCTION("""COMPUTED_VALUE"""),"CHI")</f>
        <v>CHI</v>
      </c>
      <c r="F98" s="5" t="str">
        <f>IFERROR(__xludf.DUMMYFUNCTION("""COMPUTED_VALUE"""),"CJ")</f>
        <v>CJ</v>
      </c>
      <c r="G98" s="5">
        <f>IFERROR(__xludf.DUMMYFUNCTION("""COMPUTED_VALUE"""),6.0)</f>
        <v>6</v>
      </c>
      <c r="H98" s="5">
        <f>IFERROR(__xludf.DUMMYFUNCTION("""COMPUTED_VALUE"""),2011.0)</f>
        <v>2011</v>
      </c>
      <c r="I98" s="5" t="str">
        <f>IFERROR(__xludf.DUMMYFUNCTION("""COMPUTED_VALUE"""),"No")</f>
        <v>No</v>
      </c>
      <c r="J98" s="5"/>
      <c r="K98" s="5"/>
      <c r="L98" s="5"/>
      <c r="M98" s="5"/>
      <c r="N98" s="5"/>
      <c r="O98" s="5"/>
      <c r="P98" s="23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5" t="str">
        <f>IFERROR(__xludf.DUMMYFUNCTION("""COMPUTED_VALUE"""),"RB")</f>
        <v>RB</v>
      </c>
      <c r="B99" s="5" t="str">
        <f>IFERROR(__xludf.DUMMYFUNCTION("""COMPUTED_VALUE"""),"Sanders")</f>
        <v>Sanders</v>
      </c>
      <c r="C99" s="5" t="str">
        <f>IFERROR(__xludf.DUMMYFUNCTION("""COMPUTED_VALUE"""),"Barry")</f>
        <v>Barry</v>
      </c>
      <c r="D99" s="5">
        <f>IFERROR(__xludf.DUMMYFUNCTION("""COMPUTED_VALUE"""),408.0)</f>
        <v>408</v>
      </c>
      <c r="E99" s="5" t="str">
        <f>IFERROR(__xludf.DUMMYFUNCTION("""COMPUTED_VALUE"""),"DET")</f>
        <v>DET</v>
      </c>
      <c r="F99" s="5" t="str">
        <f>IFERROR(__xludf.DUMMYFUNCTION("""COMPUTED_VALUE"""),"MA")</f>
        <v>MA</v>
      </c>
      <c r="G99" s="5">
        <f>IFERROR(__xludf.DUMMYFUNCTION("""COMPUTED_VALUE"""),19.0)</f>
        <v>19</v>
      </c>
      <c r="H99" s="5">
        <f>IFERROR(__xludf.DUMMYFUNCTION("""COMPUTED_VALUE"""),2025.0)</f>
        <v>2025</v>
      </c>
      <c r="I99" s="5" t="str">
        <f>IFERROR(__xludf.DUMMYFUNCTION("""COMPUTED_VALUE"""),"No")</f>
        <v>No</v>
      </c>
      <c r="J99" s="5"/>
      <c r="K99" s="5"/>
      <c r="L99" s="5"/>
      <c r="M99" s="5"/>
      <c r="N99" s="5"/>
      <c r="O99" s="5"/>
      <c r="P99" s="23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23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2" t="s">
        <v>288</v>
      </c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9" t="s">
        <v>289</v>
      </c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18" t="str">
        <f>IFERROR(__xludf.DUMMYFUNCTION("query('Punt Return'!A2:L129, ""select * where L = 'No' order by D desc limit 3"",1)"),"POS")</f>
        <v>POS</v>
      </c>
      <c r="B103" s="18" t="str">
        <f>IFERROR(__xludf.DUMMYFUNCTION("""COMPUTED_VALUE"""),"Last Name")</f>
        <v>Last Name</v>
      </c>
      <c r="C103" s="18" t="str">
        <f>IFERROR(__xludf.DUMMYFUNCTION("""COMPUTED_VALUE"""),"First Name")</f>
        <v>First Name</v>
      </c>
      <c r="D103" s="18" t="str">
        <f>IFERROR(__xludf.DUMMYFUNCTION("""COMPUTED_VALUE"""),"PUNT RET")</f>
        <v>PUNT RET</v>
      </c>
      <c r="E103" s="18" t="str">
        <f>IFERROR(__xludf.DUMMYFUNCTION("""COMPUTED_VALUE"""),"YDS")</f>
        <v>YDS</v>
      </c>
      <c r="F103" s="18" t="str">
        <f>IFERROR(__xludf.DUMMYFUNCTION("""COMPUTED_VALUE"""),"AVG")</f>
        <v>AVG</v>
      </c>
      <c r="G103" s="18" t="str">
        <f>IFERROR(__xludf.DUMMYFUNCTION("""COMPUTED_VALUE"""),"TD")</f>
        <v>TD</v>
      </c>
      <c r="H103" s="18" t="str">
        <f>IFERROR(__xludf.DUMMYFUNCTION("""COMPUTED_VALUE"""),"Team")</f>
        <v>Team</v>
      </c>
      <c r="I103" s="18" t="str">
        <f>IFERROR(__xludf.DUMMYFUNCTION("""COMPUTED_VALUE"""),"User")</f>
        <v>User</v>
      </c>
      <c r="J103" s="18" t="str">
        <f>IFERROR(__xludf.DUMMYFUNCTION("""COMPUTED_VALUE"""),"Season")</f>
        <v>Season</v>
      </c>
      <c r="K103" s="18" t="str">
        <f>IFERROR(__xludf.DUMMYFUNCTION("""COMPUTED_VALUE"""),"Year")</f>
        <v>Year</v>
      </c>
      <c r="L103" s="18" t="str">
        <f>IFERROR(__xludf.DUMMYFUNCTION("""COMPUTED_VALUE"""),"Solo")</f>
        <v>Solo</v>
      </c>
      <c r="M103" s="18"/>
      <c r="N103" s="18"/>
      <c r="O103" s="18"/>
      <c r="P103" s="19"/>
      <c r="Q103" s="18"/>
      <c r="R103" s="18"/>
      <c r="S103" s="18"/>
      <c r="T103" s="18"/>
      <c r="U103" s="18"/>
      <c r="V103" s="18"/>
      <c r="W103" s="18"/>
      <c r="X103" s="18"/>
      <c r="Y103" s="18"/>
      <c r="Z103" s="18"/>
    </row>
    <row r="104">
      <c r="A104" s="5" t="str">
        <f>IFERROR(__xludf.DUMMYFUNCTION("""COMPUTED_VALUE"""),"RB")</f>
        <v>RB</v>
      </c>
      <c r="B104" s="5" t="str">
        <f>IFERROR(__xludf.DUMMYFUNCTION("""COMPUTED_VALUE"""),"Megget")</f>
        <v>Megget</v>
      </c>
      <c r="C104" s="5" t="str">
        <f>IFERROR(__xludf.DUMMYFUNCTION("""COMPUTED_VALUE"""),"Dave")</f>
        <v>Dave</v>
      </c>
      <c r="D104" s="5">
        <f>IFERROR(__xludf.DUMMYFUNCTION("""COMPUTED_VALUE"""),30.0)</f>
        <v>30</v>
      </c>
      <c r="E104" s="5">
        <f>IFERROR(__xludf.DUMMYFUNCTION("""COMPUTED_VALUE"""),469.0)</f>
        <v>469</v>
      </c>
      <c r="F104" s="5">
        <f>IFERROR(__xludf.DUMMYFUNCTION("""COMPUTED_VALUE"""),15.6)</f>
        <v>15.6</v>
      </c>
      <c r="G104" s="5">
        <f>IFERROR(__xludf.DUMMYFUNCTION("""COMPUTED_VALUE"""),1.0)</f>
        <v>1</v>
      </c>
      <c r="H104" s="5" t="str">
        <f>IFERROR(__xludf.DUMMYFUNCTION("""COMPUTED_VALUE"""),"GIA")</f>
        <v>GIA</v>
      </c>
      <c r="I104" s="5" t="str">
        <f>IFERROR(__xludf.DUMMYFUNCTION("""COMPUTED_VALUE"""),"PJ")</f>
        <v>PJ</v>
      </c>
      <c r="J104" s="5">
        <f>IFERROR(__xludf.DUMMYFUNCTION("""COMPUTED_VALUE"""),5.0)</f>
        <v>5</v>
      </c>
      <c r="K104" s="5">
        <f>IFERROR(__xludf.DUMMYFUNCTION("""COMPUTED_VALUE"""),2010.0)</f>
        <v>2010</v>
      </c>
      <c r="L104" s="5" t="str">
        <f>IFERROR(__xludf.DUMMYFUNCTION("""COMPUTED_VALUE"""),"No")</f>
        <v>No</v>
      </c>
      <c r="M104" s="5"/>
      <c r="N104" s="5"/>
      <c r="O104" s="5"/>
      <c r="P104" s="23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5" t="str">
        <f>IFERROR(__xludf.DUMMYFUNCTION("""COMPUTED_VALUE"""),"RB")</f>
        <v>RB</v>
      </c>
      <c r="B105" s="5" t="str">
        <f>IFERROR(__xludf.DUMMYFUNCTION("""COMPUTED_VALUE"""),"Megget")</f>
        <v>Megget</v>
      </c>
      <c r="C105" s="5" t="str">
        <f>IFERROR(__xludf.DUMMYFUNCTION("""COMPUTED_VALUE"""),"Dave")</f>
        <v>Dave</v>
      </c>
      <c r="D105" s="5">
        <f>IFERROR(__xludf.DUMMYFUNCTION("""COMPUTED_VALUE"""),30.0)</f>
        <v>30</v>
      </c>
      <c r="E105" s="5">
        <f>IFERROR(__xludf.DUMMYFUNCTION("""COMPUTED_VALUE"""),424.0)</f>
        <v>424</v>
      </c>
      <c r="F105" s="5">
        <f>IFERROR(__xludf.DUMMYFUNCTION("""COMPUTED_VALUE"""),14.1)</f>
        <v>14.1</v>
      </c>
      <c r="G105" s="5">
        <f>IFERROR(__xludf.DUMMYFUNCTION("""COMPUTED_VALUE"""),0.0)</f>
        <v>0</v>
      </c>
      <c r="H105" s="5" t="str">
        <f>IFERROR(__xludf.DUMMYFUNCTION("""COMPUTED_VALUE"""),"GIA")</f>
        <v>GIA</v>
      </c>
      <c r="I105" s="5" t="str">
        <f>IFERROR(__xludf.DUMMYFUNCTION("""COMPUTED_VALUE"""),"PJ")</f>
        <v>PJ</v>
      </c>
      <c r="J105" s="5">
        <f>IFERROR(__xludf.DUMMYFUNCTION("""COMPUTED_VALUE"""),7.0)</f>
        <v>7</v>
      </c>
      <c r="K105" s="5">
        <f>IFERROR(__xludf.DUMMYFUNCTION("""COMPUTED_VALUE"""),2017.0)</f>
        <v>2017</v>
      </c>
      <c r="L105" s="5" t="str">
        <f>IFERROR(__xludf.DUMMYFUNCTION("""COMPUTED_VALUE"""),"No")</f>
        <v>No</v>
      </c>
      <c r="M105" s="5"/>
      <c r="N105" s="5"/>
      <c r="O105" s="5"/>
      <c r="P105" s="23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5" t="str">
        <f>IFERROR(__xludf.DUMMYFUNCTION("""COMPUTED_VALUE"""),"WR")</f>
        <v>WR</v>
      </c>
      <c r="B106" s="5" t="str">
        <f>IFERROR(__xludf.DUMMYFUNCTION("""COMPUTED_VALUE"""),"Williams")</f>
        <v>Williams</v>
      </c>
      <c r="C106" s="5" t="str">
        <f>IFERROR(__xludf.DUMMYFUNCTION("""COMPUTED_VALUE"""),"Calvin")</f>
        <v>Calvin</v>
      </c>
      <c r="D106" s="5">
        <f>IFERROR(__xludf.DUMMYFUNCTION("""COMPUTED_VALUE"""),30.0)</f>
        <v>30</v>
      </c>
      <c r="E106" s="5">
        <f>IFERROR(__xludf.DUMMYFUNCTION("""COMPUTED_VALUE"""),215.0)</f>
        <v>215</v>
      </c>
      <c r="F106" s="5">
        <f>IFERROR(__xludf.DUMMYFUNCTION("""COMPUTED_VALUE"""),7.1)</f>
        <v>7.1</v>
      </c>
      <c r="G106" s="5">
        <f>IFERROR(__xludf.DUMMYFUNCTION("""COMPUTED_VALUE"""),0.0)</f>
        <v>0</v>
      </c>
      <c r="H106" s="5" t="str">
        <f>IFERROR(__xludf.DUMMYFUNCTION("""COMPUTED_VALUE"""),"PHI")</f>
        <v>PHI</v>
      </c>
      <c r="I106" s="5" t="str">
        <f>IFERROR(__xludf.DUMMYFUNCTION("""COMPUTED_VALUE"""),"WB")</f>
        <v>WB</v>
      </c>
      <c r="J106" s="5">
        <f>IFERROR(__xludf.DUMMYFUNCTION("""COMPUTED_VALUE"""),13.0)</f>
        <v>13</v>
      </c>
      <c r="K106" s="5">
        <f>IFERROR(__xludf.DUMMYFUNCTION("""COMPUTED_VALUE"""),2021.0)</f>
        <v>2021</v>
      </c>
      <c r="L106" s="5" t="str">
        <f>IFERROR(__xludf.DUMMYFUNCTION("""COMPUTED_VALUE"""),"No")</f>
        <v>No</v>
      </c>
      <c r="M106" s="5"/>
      <c r="N106" s="5"/>
      <c r="O106" s="5"/>
      <c r="P106" s="23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23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9" t="s">
        <v>300</v>
      </c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18" t="str">
        <f>IFERROR(__xludf.DUMMYFUNCTION("query('Punt Return'!A2:L129, ""select * where L = 'No' order by E desc limit 3"",1)"),"POS")</f>
        <v>POS</v>
      </c>
      <c r="B109" s="18" t="str">
        <f>IFERROR(__xludf.DUMMYFUNCTION("""COMPUTED_VALUE"""),"Last Name")</f>
        <v>Last Name</v>
      </c>
      <c r="C109" s="18" t="str">
        <f>IFERROR(__xludf.DUMMYFUNCTION("""COMPUTED_VALUE"""),"First Name")</f>
        <v>First Name</v>
      </c>
      <c r="D109" s="18" t="str">
        <f>IFERROR(__xludf.DUMMYFUNCTION("""COMPUTED_VALUE"""),"PUNT RET")</f>
        <v>PUNT RET</v>
      </c>
      <c r="E109" s="18" t="str">
        <f>IFERROR(__xludf.DUMMYFUNCTION("""COMPUTED_VALUE"""),"YDS")</f>
        <v>YDS</v>
      </c>
      <c r="F109" s="18" t="str">
        <f>IFERROR(__xludf.DUMMYFUNCTION("""COMPUTED_VALUE"""),"AVG")</f>
        <v>AVG</v>
      </c>
      <c r="G109" s="18" t="str">
        <f>IFERROR(__xludf.DUMMYFUNCTION("""COMPUTED_VALUE"""),"TD")</f>
        <v>TD</v>
      </c>
      <c r="H109" s="18" t="str">
        <f>IFERROR(__xludf.DUMMYFUNCTION("""COMPUTED_VALUE"""),"Team")</f>
        <v>Team</v>
      </c>
      <c r="I109" s="18" t="str">
        <f>IFERROR(__xludf.DUMMYFUNCTION("""COMPUTED_VALUE"""),"User")</f>
        <v>User</v>
      </c>
      <c r="J109" s="18" t="str">
        <f>IFERROR(__xludf.DUMMYFUNCTION("""COMPUTED_VALUE"""),"Season")</f>
        <v>Season</v>
      </c>
      <c r="K109" s="18" t="str">
        <f>IFERROR(__xludf.DUMMYFUNCTION("""COMPUTED_VALUE"""),"Year")</f>
        <v>Year</v>
      </c>
      <c r="L109" s="18" t="str">
        <f>IFERROR(__xludf.DUMMYFUNCTION("""COMPUTED_VALUE"""),"Solo")</f>
        <v>Solo</v>
      </c>
      <c r="M109" s="18"/>
      <c r="N109" s="18"/>
      <c r="O109" s="18"/>
      <c r="P109" s="19"/>
      <c r="Q109" s="18"/>
      <c r="R109" s="18"/>
      <c r="S109" s="18"/>
      <c r="T109" s="18"/>
      <c r="U109" s="18"/>
      <c r="V109" s="18"/>
      <c r="W109" s="18"/>
      <c r="X109" s="18"/>
      <c r="Y109" s="18"/>
      <c r="Z109" s="18"/>
    </row>
    <row r="110">
      <c r="A110" s="5" t="str">
        <f>IFERROR(__xludf.DUMMYFUNCTION("""COMPUTED_VALUE"""),"RB")</f>
        <v>RB</v>
      </c>
      <c r="B110" s="5" t="str">
        <f>IFERROR(__xludf.DUMMYFUNCTION("""COMPUTED_VALUE"""),"Megget")</f>
        <v>Megget</v>
      </c>
      <c r="C110" s="5" t="str">
        <f>IFERROR(__xludf.DUMMYFUNCTION("""COMPUTED_VALUE"""),"Dave")</f>
        <v>Dave</v>
      </c>
      <c r="D110" s="5">
        <f>IFERROR(__xludf.DUMMYFUNCTION("""COMPUTED_VALUE"""),30.0)</f>
        <v>30</v>
      </c>
      <c r="E110" s="5">
        <f>IFERROR(__xludf.DUMMYFUNCTION("""COMPUTED_VALUE"""),469.0)</f>
        <v>469</v>
      </c>
      <c r="F110" s="5">
        <f>IFERROR(__xludf.DUMMYFUNCTION("""COMPUTED_VALUE"""),15.6)</f>
        <v>15.6</v>
      </c>
      <c r="G110" s="5">
        <f>IFERROR(__xludf.DUMMYFUNCTION("""COMPUTED_VALUE"""),1.0)</f>
        <v>1</v>
      </c>
      <c r="H110" s="5" t="str">
        <f>IFERROR(__xludf.DUMMYFUNCTION("""COMPUTED_VALUE"""),"GIA")</f>
        <v>GIA</v>
      </c>
      <c r="I110" s="5" t="str">
        <f>IFERROR(__xludf.DUMMYFUNCTION("""COMPUTED_VALUE"""),"PJ")</f>
        <v>PJ</v>
      </c>
      <c r="J110" s="5">
        <f>IFERROR(__xludf.DUMMYFUNCTION("""COMPUTED_VALUE"""),5.0)</f>
        <v>5</v>
      </c>
      <c r="K110" s="5">
        <f>IFERROR(__xludf.DUMMYFUNCTION("""COMPUTED_VALUE"""),2010.0)</f>
        <v>2010</v>
      </c>
      <c r="L110" s="5" t="str">
        <f>IFERROR(__xludf.DUMMYFUNCTION("""COMPUTED_VALUE"""),"No")</f>
        <v>No</v>
      </c>
      <c r="M110" s="5"/>
      <c r="N110" s="5"/>
      <c r="O110" s="5"/>
      <c r="P110" s="23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5" t="str">
        <f>IFERROR(__xludf.DUMMYFUNCTION("""COMPUTED_VALUE"""),"WR")</f>
        <v>WR</v>
      </c>
      <c r="B111" s="5" t="str">
        <f>IFERROR(__xludf.DUMMYFUNCTION("""COMPUTED_VALUE"""),"Hill")</f>
        <v>Hill</v>
      </c>
      <c r="C111" s="5" t="str">
        <f>IFERROR(__xludf.DUMMYFUNCTION("""COMPUTED_VALUE"""),"Derek")</f>
        <v>Derek</v>
      </c>
      <c r="D111" s="5">
        <f>IFERROR(__xludf.DUMMYFUNCTION("""COMPUTED_VALUE"""),28.0)</f>
        <v>28</v>
      </c>
      <c r="E111" s="5">
        <f>IFERROR(__xludf.DUMMYFUNCTION("""COMPUTED_VALUE"""),435.0)</f>
        <v>435</v>
      </c>
      <c r="F111" s="5">
        <f>IFERROR(__xludf.DUMMYFUNCTION("""COMPUTED_VALUE"""),15.5)</f>
        <v>15.5</v>
      </c>
      <c r="G111" s="5">
        <f>IFERROR(__xludf.DUMMYFUNCTION("""COMPUTED_VALUE"""),0.0)</f>
        <v>0</v>
      </c>
      <c r="H111" s="5" t="str">
        <f>IFERROR(__xludf.DUMMYFUNCTION("""COMPUTED_VALUE"""),"PIT")</f>
        <v>PIT</v>
      </c>
      <c r="I111" s="5" t="str">
        <f>IFERROR(__xludf.DUMMYFUNCTION("""COMPUTED_VALUE"""),"PJ")</f>
        <v>PJ</v>
      </c>
      <c r="J111" s="5">
        <f>IFERROR(__xludf.DUMMYFUNCTION("""COMPUTED_VALUE"""),15.0)</f>
        <v>15</v>
      </c>
      <c r="K111" s="5">
        <f>IFERROR(__xludf.DUMMYFUNCTION("""COMPUTED_VALUE"""),2023.0)</f>
        <v>2023</v>
      </c>
      <c r="L111" s="5" t="str">
        <f>IFERROR(__xludf.DUMMYFUNCTION("""COMPUTED_VALUE"""),"No")</f>
        <v>No</v>
      </c>
      <c r="M111" s="9"/>
      <c r="N111" s="9"/>
      <c r="O111" s="9"/>
      <c r="P111" s="42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5" t="str">
        <f>IFERROR(__xludf.DUMMYFUNCTION("""COMPUTED_VALUE"""),"RB")</f>
        <v>RB</v>
      </c>
      <c r="B112" s="5" t="str">
        <f>IFERROR(__xludf.DUMMYFUNCTION("""COMPUTED_VALUE"""),"Megget")</f>
        <v>Megget</v>
      </c>
      <c r="C112" s="5" t="str">
        <f>IFERROR(__xludf.DUMMYFUNCTION("""COMPUTED_VALUE"""),"Dave")</f>
        <v>Dave</v>
      </c>
      <c r="D112" s="5">
        <f>IFERROR(__xludf.DUMMYFUNCTION("""COMPUTED_VALUE"""),30.0)</f>
        <v>30</v>
      </c>
      <c r="E112" s="5">
        <f>IFERROR(__xludf.DUMMYFUNCTION("""COMPUTED_VALUE"""),424.0)</f>
        <v>424</v>
      </c>
      <c r="F112" s="5">
        <f>IFERROR(__xludf.DUMMYFUNCTION("""COMPUTED_VALUE"""),14.1)</f>
        <v>14.1</v>
      </c>
      <c r="G112" s="5">
        <f>IFERROR(__xludf.DUMMYFUNCTION("""COMPUTED_VALUE"""),0.0)</f>
        <v>0</v>
      </c>
      <c r="H112" s="5" t="str">
        <f>IFERROR(__xludf.DUMMYFUNCTION("""COMPUTED_VALUE"""),"GIA")</f>
        <v>GIA</v>
      </c>
      <c r="I112" s="5" t="str">
        <f>IFERROR(__xludf.DUMMYFUNCTION("""COMPUTED_VALUE"""),"PJ")</f>
        <v>PJ</v>
      </c>
      <c r="J112" s="5">
        <f>IFERROR(__xludf.DUMMYFUNCTION("""COMPUTED_VALUE"""),7.0)</f>
        <v>7</v>
      </c>
      <c r="K112" s="5">
        <f>IFERROR(__xludf.DUMMYFUNCTION("""COMPUTED_VALUE"""),2017.0)</f>
        <v>2017</v>
      </c>
      <c r="L112" s="5" t="str">
        <f>IFERROR(__xludf.DUMMYFUNCTION("""COMPUTED_VALUE"""),"No")</f>
        <v>No</v>
      </c>
      <c r="M112" s="9"/>
      <c r="N112" s="9"/>
      <c r="O112" s="9"/>
      <c r="P112" s="42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42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9" t="s">
        <v>303</v>
      </c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18" t="str">
        <f>IFERROR(__xludf.DUMMYFUNCTION("query('Punt Return'!A2:L129, ""select * where L = 'No' order by F desc limit 3"",1)"),"POS")</f>
        <v>POS</v>
      </c>
      <c r="B115" s="18" t="str">
        <f>IFERROR(__xludf.DUMMYFUNCTION("""COMPUTED_VALUE"""),"Last Name")</f>
        <v>Last Name</v>
      </c>
      <c r="C115" s="18" t="str">
        <f>IFERROR(__xludf.DUMMYFUNCTION("""COMPUTED_VALUE"""),"First Name")</f>
        <v>First Name</v>
      </c>
      <c r="D115" s="18" t="str">
        <f>IFERROR(__xludf.DUMMYFUNCTION("""COMPUTED_VALUE"""),"PUNT RET")</f>
        <v>PUNT RET</v>
      </c>
      <c r="E115" s="18" t="str">
        <f>IFERROR(__xludf.DUMMYFUNCTION("""COMPUTED_VALUE"""),"YDS")</f>
        <v>YDS</v>
      </c>
      <c r="F115" s="18" t="str">
        <f>IFERROR(__xludf.DUMMYFUNCTION("""COMPUTED_VALUE"""),"AVG")</f>
        <v>AVG</v>
      </c>
      <c r="G115" s="18" t="str">
        <f>IFERROR(__xludf.DUMMYFUNCTION("""COMPUTED_VALUE"""),"TD")</f>
        <v>TD</v>
      </c>
      <c r="H115" s="18" t="str">
        <f>IFERROR(__xludf.DUMMYFUNCTION("""COMPUTED_VALUE"""),"Team")</f>
        <v>Team</v>
      </c>
      <c r="I115" s="18" t="str">
        <f>IFERROR(__xludf.DUMMYFUNCTION("""COMPUTED_VALUE"""),"User")</f>
        <v>User</v>
      </c>
      <c r="J115" s="18" t="str">
        <f>IFERROR(__xludf.DUMMYFUNCTION("""COMPUTED_VALUE"""),"Season")</f>
        <v>Season</v>
      </c>
      <c r="K115" s="18" t="str">
        <f>IFERROR(__xludf.DUMMYFUNCTION("""COMPUTED_VALUE"""),"Year")</f>
        <v>Year</v>
      </c>
      <c r="L115" s="18" t="str">
        <f>IFERROR(__xludf.DUMMYFUNCTION("""COMPUTED_VALUE"""),"Solo")</f>
        <v>Solo</v>
      </c>
      <c r="M115" s="18"/>
      <c r="N115" s="18"/>
      <c r="O115" s="18"/>
      <c r="P115" s="19"/>
      <c r="Q115" s="18"/>
      <c r="R115" s="18"/>
      <c r="S115" s="18"/>
      <c r="T115" s="18"/>
      <c r="U115" s="18"/>
      <c r="V115" s="18"/>
      <c r="W115" s="18"/>
      <c r="X115" s="18"/>
      <c r="Y115" s="18"/>
      <c r="Z115" s="18"/>
    </row>
    <row r="116">
      <c r="A116" s="5" t="str">
        <f>IFERROR(__xludf.DUMMYFUNCTION("""COMPUTED_VALUE"""),"RB")</f>
        <v>RB</v>
      </c>
      <c r="B116" s="5" t="str">
        <f>IFERROR(__xludf.DUMMYFUNCTION("""COMPUTED_VALUE"""),"Winder")</f>
        <v>Winder</v>
      </c>
      <c r="C116" s="5" t="str">
        <f>IFERROR(__xludf.DUMMYFUNCTION("""COMPUTED_VALUE"""),"Sammy")</f>
        <v>Sammy</v>
      </c>
      <c r="D116" s="5">
        <f>IFERROR(__xludf.DUMMYFUNCTION("""COMPUTED_VALUE"""),9.0)</f>
        <v>9</v>
      </c>
      <c r="E116" s="5">
        <f>IFERROR(__xludf.DUMMYFUNCTION("""COMPUTED_VALUE"""),174.0)</f>
        <v>174</v>
      </c>
      <c r="F116" s="5">
        <f>IFERROR(__xludf.DUMMYFUNCTION("""COMPUTED_VALUE"""),19.3)</f>
        <v>19.3</v>
      </c>
      <c r="G116" s="5">
        <f>IFERROR(__xludf.DUMMYFUNCTION("""COMPUTED_VALUE"""),0.0)</f>
        <v>0</v>
      </c>
      <c r="H116" s="5" t="str">
        <f>IFERROR(__xludf.DUMMYFUNCTION("""COMPUTED_VALUE"""),"DEN")</f>
        <v>DEN</v>
      </c>
      <c r="I116" s="5" t="str">
        <f>IFERROR(__xludf.DUMMYFUNCTION("""COMPUTED_VALUE"""),"PJ")</f>
        <v>PJ</v>
      </c>
      <c r="J116" s="5">
        <f>IFERROR(__xludf.DUMMYFUNCTION("""COMPUTED_VALUE"""),21.0)</f>
        <v>21</v>
      </c>
      <c r="K116" s="5">
        <f>IFERROR(__xludf.DUMMYFUNCTION("""COMPUTED_VALUE"""),2026.0)</f>
        <v>2026</v>
      </c>
      <c r="L116" s="5" t="str">
        <f>IFERROR(__xludf.DUMMYFUNCTION("""COMPUTED_VALUE"""),"No")</f>
        <v>No</v>
      </c>
      <c r="M116" s="5"/>
      <c r="N116" s="5"/>
      <c r="O116" s="5"/>
      <c r="P116" s="23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5" t="str">
        <f>IFERROR(__xludf.DUMMYFUNCTION("""COMPUTED_VALUE"""),"RB")</f>
        <v>RB</v>
      </c>
      <c r="B117" s="5" t="str">
        <f>IFERROR(__xludf.DUMMYFUNCTION("""COMPUTED_VALUE"""),"Megget")</f>
        <v>Megget</v>
      </c>
      <c r="C117" s="5" t="str">
        <f>IFERROR(__xludf.DUMMYFUNCTION("""COMPUTED_VALUE"""),"Dave")</f>
        <v>Dave</v>
      </c>
      <c r="D117" s="5">
        <f>IFERROR(__xludf.DUMMYFUNCTION("""COMPUTED_VALUE"""),30.0)</f>
        <v>30</v>
      </c>
      <c r="E117" s="5">
        <f>IFERROR(__xludf.DUMMYFUNCTION("""COMPUTED_VALUE"""),469.0)</f>
        <v>469</v>
      </c>
      <c r="F117" s="5">
        <f>IFERROR(__xludf.DUMMYFUNCTION("""COMPUTED_VALUE"""),15.6)</f>
        <v>15.6</v>
      </c>
      <c r="G117" s="5">
        <f>IFERROR(__xludf.DUMMYFUNCTION("""COMPUTED_VALUE"""),1.0)</f>
        <v>1</v>
      </c>
      <c r="H117" s="5" t="str">
        <f>IFERROR(__xludf.DUMMYFUNCTION("""COMPUTED_VALUE"""),"GIA")</f>
        <v>GIA</v>
      </c>
      <c r="I117" s="5" t="str">
        <f>IFERROR(__xludf.DUMMYFUNCTION("""COMPUTED_VALUE"""),"PJ")</f>
        <v>PJ</v>
      </c>
      <c r="J117" s="5">
        <f>IFERROR(__xludf.DUMMYFUNCTION("""COMPUTED_VALUE"""),5.0)</f>
        <v>5</v>
      </c>
      <c r="K117" s="5">
        <f>IFERROR(__xludf.DUMMYFUNCTION("""COMPUTED_VALUE"""),2010.0)</f>
        <v>2010</v>
      </c>
      <c r="L117" s="5" t="str">
        <f>IFERROR(__xludf.DUMMYFUNCTION("""COMPUTED_VALUE"""),"No")</f>
        <v>No</v>
      </c>
      <c r="M117" s="5"/>
      <c r="N117" s="5"/>
      <c r="O117" s="5"/>
      <c r="P117" s="23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5" t="str">
        <f>IFERROR(__xludf.DUMMYFUNCTION("""COMPUTED_VALUE"""),"WR")</f>
        <v>WR</v>
      </c>
      <c r="B118" s="5" t="str">
        <f>IFERROR(__xludf.DUMMYFUNCTION("""COMPUTED_VALUE"""),"Hill")</f>
        <v>Hill</v>
      </c>
      <c r="C118" s="5" t="str">
        <f>IFERROR(__xludf.DUMMYFUNCTION("""COMPUTED_VALUE"""),"Derek")</f>
        <v>Derek</v>
      </c>
      <c r="D118" s="5">
        <f>IFERROR(__xludf.DUMMYFUNCTION("""COMPUTED_VALUE"""),28.0)</f>
        <v>28</v>
      </c>
      <c r="E118" s="5">
        <f>IFERROR(__xludf.DUMMYFUNCTION("""COMPUTED_VALUE"""),435.0)</f>
        <v>435</v>
      </c>
      <c r="F118" s="5">
        <f>IFERROR(__xludf.DUMMYFUNCTION("""COMPUTED_VALUE"""),15.5)</f>
        <v>15.5</v>
      </c>
      <c r="G118" s="5">
        <f>IFERROR(__xludf.DUMMYFUNCTION("""COMPUTED_VALUE"""),0.0)</f>
        <v>0</v>
      </c>
      <c r="H118" s="5" t="str">
        <f>IFERROR(__xludf.DUMMYFUNCTION("""COMPUTED_VALUE"""),"PIT")</f>
        <v>PIT</v>
      </c>
      <c r="I118" s="5" t="str">
        <f>IFERROR(__xludf.DUMMYFUNCTION("""COMPUTED_VALUE"""),"PJ")</f>
        <v>PJ</v>
      </c>
      <c r="J118" s="5">
        <f>IFERROR(__xludf.DUMMYFUNCTION("""COMPUTED_VALUE"""),15.0)</f>
        <v>15</v>
      </c>
      <c r="K118" s="5">
        <f>IFERROR(__xludf.DUMMYFUNCTION("""COMPUTED_VALUE"""),2023.0)</f>
        <v>2023</v>
      </c>
      <c r="L118" s="5" t="str">
        <f>IFERROR(__xludf.DUMMYFUNCTION("""COMPUTED_VALUE"""),"No")</f>
        <v>No</v>
      </c>
      <c r="M118" s="5"/>
      <c r="N118" s="5"/>
      <c r="O118" s="5"/>
      <c r="P118" s="23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23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9" t="s">
        <v>311</v>
      </c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18" t="str">
        <f>IFERROR(__xludf.DUMMYFUNCTION("query('Punt Return'!A2:L129, ""select * where L = 'No' order by G desc limit 3"",1)"),"POS")</f>
        <v>POS</v>
      </c>
      <c r="B121" s="18" t="str">
        <f>IFERROR(__xludf.DUMMYFUNCTION("""COMPUTED_VALUE"""),"Last Name")</f>
        <v>Last Name</v>
      </c>
      <c r="C121" s="18" t="str">
        <f>IFERROR(__xludf.DUMMYFUNCTION("""COMPUTED_VALUE"""),"First Name")</f>
        <v>First Name</v>
      </c>
      <c r="D121" s="18" t="str">
        <f>IFERROR(__xludf.DUMMYFUNCTION("""COMPUTED_VALUE"""),"PUNT RET")</f>
        <v>PUNT RET</v>
      </c>
      <c r="E121" s="18" t="str">
        <f>IFERROR(__xludf.DUMMYFUNCTION("""COMPUTED_VALUE"""),"YDS")</f>
        <v>YDS</v>
      </c>
      <c r="F121" s="18" t="str">
        <f>IFERROR(__xludf.DUMMYFUNCTION("""COMPUTED_VALUE"""),"AVG")</f>
        <v>AVG</v>
      </c>
      <c r="G121" s="18" t="str">
        <f>IFERROR(__xludf.DUMMYFUNCTION("""COMPUTED_VALUE"""),"TD")</f>
        <v>TD</v>
      </c>
      <c r="H121" s="18" t="str">
        <f>IFERROR(__xludf.DUMMYFUNCTION("""COMPUTED_VALUE"""),"Team")</f>
        <v>Team</v>
      </c>
      <c r="I121" s="18" t="str">
        <f>IFERROR(__xludf.DUMMYFUNCTION("""COMPUTED_VALUE"""),"User")</f>
        <v>User</v>
      </c>
      <c r="J121" s="18" t="str">
        <f>IFERROR(__xludf.DUMMYFUNCTION("""COMPUTED_VALUE"""),"Season")</f>
        <v>Season</v>
      </c>
      <c r="K121" s="18" t="str">
        <f>IFERROR(__xludf.DUMMYFUNCTION("""COMPUTED_VALUE"""),"Year")</f>
        <v>Year</v>
      </c>
      <c r="L121" s="18" t="str">
        <f>IFERROR(__xludf.DUMMYFUNCTION("""COMPUTED_VALUE"""),"Solo")</f>
        <v>Solo</v>
      </c>
      <c r="M121" s="18"/>
      <c r="N121" s="18"/>
      <c r="O121" s="18"/>
      <c r="P121" s="19"/>
      <c r="Q121" s="18"/>
      <c r="R121" s="18"/>
      <c r="S121" s="18"/>
      <c r="T121" s="18"/>
      <c r="U121" s="18"/>
      <c r="V121" s="18"/>
      <c r="W121" s="18"/>
      <c r="X121" s="18"/>
      <c r="Y121" s="18"/>
      <c r="Z121" s="18"/>
    </row>
    <row r="122">
      <c r="A122" s="5" t="str">
        <f>IFERROR(__xludf.DUMMYFUNCTION("""COMPUTED_VALUE"""),"RB")</f>
        <v>RB</v>
      </c>
      <c r="B122" s="5" t="str">
        <f>IFERROR(__xludf.DUMMYFUNCTION("""COMPUTED_VALUE"""),"Megget")</f>
        <v>Megget</v>
      </c>
      <c r="C122" s="5" t="str">
        <f>IFERROR(__xludf.DUMMYFUNCTION("""COMPUTED_VALUE"""),"Dave")</f>
        <v>Dave</v>
      </c>
      <c r="D122" s="5">
        <f>IFERROR(__xludf.DUMMYFUNCTION("""COMPUTED_VALUE"""),30.0)</f>
        <v>30</v>
      </c>
      <c r="E122" s="5">
        <f>IFERROR(__xludf.DUMMYFUNCTION("""COMPUTED_VALUE"""),469.0)</f>
        <v>469</v>
      </c>
      <c r="F122" s="5">
        <f>IFERROR(__xludf.DUMMYFUNCTION("""COMPUTED_VALUE"""),15.6)</f>
        <v>15.6</v>
      </c>
      <c r="G122" s="5">
        <f>IFERROR(__xludf.DUMMYFUNCTION("""COMPUTED_VALUE"""),1.0)</f>
        <v>1</v>
      </c>
      <c r="H122" s="5" t="str">
        <f>IFERROR(__xludf.DUMMYFUNCTION("""COMPUTED_VALUE"""),"GIA")</f>
        <v>GIA</v>
      </c>
      <c r="I122" s="5" t="str">
        <f>IFERROR(__xludf.DUMMYFUNCTION("""COMPUTED_VALUE"""),"PJ")</f>
        <v>PJ</v>
      </c>
      <c r="J122" s="5">
        <f>IFERROR(__xludf.DUMMYFUNCTION("""COMPUTED_VALUE"""),5.0)</f>
        <v>5</v>
      </c>
      <c r="K122" s="5">
        <f>IFERROR(__xludf.DUMMYFUNCTION("""COMPUTED_VALUE"""),2010.0)</f>
        <v>2010</v>
      </c>
      <c r="L122" s="5" t="str">
        <f>IFERROR(__xludf.DUMMYFUNCTION("""COMPUTED_VALUE"""),"No")</f>
        <v>No</v>
      </c>
      <c r="M122" s="5"/>
      <c r="N122" s="5"/>
      <c r="O122" s="5"/>
      <c r="P122" s="23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5" t="str">
        <f>IFERROR(__xludf.DUMMYFUNCTION("""COMPUTED_VALUE"""),"WR")</f>
        <v>WR</v>
      </c>
      <c r="B123" s="5" t="str">
        <f>IFERROR(__xludf.DUMMYFUNCTION("""COMPUTED_VALUE"""),"Martin")</f>
        <v>Martin</v>
      </c>
      <c r="C123" s="5" t="str">
        <f>IFERROR(__xludf.DUMMYFUNCTION("""COMPUTED_VALUE"""),"Kelvin")</f>
        <v>Kelvin</v>
      </c>
      <c r="D123" s="5">
        <f>IFERROR(__xludf.DUMMYFUNCTION("""COMPUTED_VALUE"""),22.0)</f>
        <v>22</v>
      </c>
      <c r="E123" s="5">
        <f>IFERROR(__xludf.DUMMYFUNCTION("""COMPUTED_VALUE"""),250.0)</f>
        <v>250</v>
      </c>
      <c r="F123" s="5">
        <f>IFERROR(__xludf.DUMMYFUNCTION("""COMPUTED_VALUE"""),11.3)</f>
        <v>11.3</v>
      </c>
      <c r="G123" s="5">
        <f>IFERROR(__xludf.DUMMYFUNCTION("""COMPUTED_VALUE"""),1.0)</f>
        <v>1</v>
      </c>
      <c r="H123" s="5" t="str">
        <f>IFERROR(__xludf.DUMMYFUNCTION("""COMPUTED_VALUE"""),"DAL")</f>
        <v>DAL</v>
      </c>
      <c r="I123" s="5" t="str">
        <f>IFERROR(__xludf.DUMMYFUNCTION("""COMPUTED_VALUE"""),"CJ")</f>
        <v>CJ</v>
      </c>
      <c r="J123" s="5">
        <f>IFERROR(__xludf.DUMMYFUNCTION("""COMPUTED_VALUE"""),12.0)</f>
        <v>12</v>
      </c>
      <c r="K123" s="5">
        <f>IFERROR(__xludf.DUMMYFUNCTION("""COMPUTED_VALUE"""),2020.0)</f>
        <v>2020</v>
      </c>
      <c r="L123" s="5" t="str">
        <f>IFERROR(__xludf.DUMMYFUNCTION("""COMPUTED_VALUE"""),"No")</f>
        <v>No</v>
      </c>
      <c r="M123" s="5"/>
      <c r="N123" s="5"/>
      <c r="O123" s="5"/>
      <c r="P123" s="23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5" t="str">
        <f>IFERROR(__xludf.DUMMYFUNCTION("""COMPUTED_VALUE"""),"RB")</f>
        <v>RB</v>
      </c>
      <c r="B124" s="5" t="str">
        <f>IFERROR(__xludf.DUMMYFUNCTION("""COMPUTED_VALUE"""),"Gray")</f>
        <v>Gray</v>
      </c>
      <c r="C124" s="5" t="str">
        <f>IFERROR(__xludf.DUMMYFUNCTION("""COMPUTED_VALUE"""),"Mel")</f>
        <v>Mel</v>
      </c>
      <c r="D124" s="5">
        <f>IFERROR(__xludf.DUMMYFUNCTION("""COMPUTED_VALUE"""),12.0)</f>
        <v>12</v>
      </c>
      <c r="E124" s="5">
        <f>IFERROR(__xludf.DUMMYFUNCTION("""COMPUTED_VALUE"""),135.0)</f>
        <v>135</v>
      </c>
      <c r="F124" s="5">
        <f>IFERROR(__xludf.DUMMYFUNCTION("""COMPUTED_VALUE"""),11.2)</f>
        <v>11.2</v>
      </c>
      <c r="G124" s="5">
        <f>IFERROR(__xludf.DUMMYFUNCTION("""COMPUTED_VALUE"""),1.0)</f>
        <v>1</v>
      </c>
      <c r="H124" s="5" t="str">
        <f>IFERROR(__xludf.DUMMYFUNCTION("""COMPUTED_VALUE"""),"DET")</f>
        <v>DET</v>
      </c>
      <c r="I124" s="5" t="str">
        <f>IFERROR(__xludf.DUMMYFUNCTION("""COMPUTED_VALUE"""),"PJ")</f>
        <v>PJ</v>
      </c>
      <c r="J124" s="5">
        <f>IFERROR(__xludf.DUMMYFUNCTION("""COMPUTED_VALUE"""),20.0)</f>
        <v>20</v>
      </c>
      <c r="K124" s="5">
        <f>IFERROR(__xludf.DUMMYFUNCTION("""COMPUTED_VALUE"""),2025.0)</f>
        <v>2025</v>
      </c>
      <c r="L124" s="5" t="str">
        <f>IFERROR(__xludf.DUMMYFUNCTION("""COMPUTED_VALUE"""),"No")</f>
        <v>No</v>
      </c>
      <c r="M124" s="5"/>
      <c r="N124" s="5"/>
      <c r="O124" s="5"/>
      <c r="P124" s="23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23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9" t="s">
        <v>315</v>
      </c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18" t="str">
        <f>IFERROR(__xludf.DUMMYFUNCTION("query('Kick Return'!A2:L99, ""select * where L = 'No' and I &lt;&gt; 'COMP' order by D desc limit 3"",1)"),"POS")</f>
        <v>POS</v>
      </c>
      <c r="B127" s="18" t="str">
        <f>IFERROR(__xludf.DUMMYFUNCTION("""COMPUTED_VALUE"""),"Last Name")</f>
        <v>Last Name</v>
      </c>
      <c r="C127" s="18" t="str">
        <f>IFERROR(__xludf.DUMMYFUNCTION("""COMPUTED_VALUE"""),"First Name")</f>
        <v>First Name</v>
      </c>
      <c r="D127" s="18" t="str">
        <f>IFERROR(__xludf.DUMMYFUNCTION("""COMPUTED_VALUE"""),"KICK RET")</f>
        <v>KICK RET</v>
      </c>
      <c r="E127" s="18" t="str">
        <f>IFERROR(__xludf.DUMMYFUNCTION("""COMPUTED_VALUE"""),"YDS")</f>
        <v>YDS</v>
      </c>
      <c r="F127" s="18" t="str">
        <f>IFERROR(__xludf.DUMMYFUNCTION("""COMPUTED_VALUE"""),"AVG")</f>
        <v>AVG</v>
      </c>
      <c r="G127" s="18" t="str">
        <f>IFERROR(__xludf.DUMMYFUNCTION("""COMPUTED_VALUE"""),"TD")</f>
        <v>TD</v>
      </c>
      <c r="H127" s="18" t="str">
        <f>IFERROR(__xludf.DUMMYFUNCTION("""COMPUTED_VALUE"""),"Team")</f>
        <v>Team</v>
      </c>
      <c r="I127" s="18" t="str">
        <f>IFERROR(__xludf.DUMMYFUNCTION("""COMPUTED_VALUE"""),"User")</f>
        <v>User</v>
      </c>
      <c r="J127" s="18" t="str">
        <f>IFERROR(__xludf.DUMMYFUNCTION("""COMPUTED_VALUE"""),"Season")</f>
        <v>Season</v>
      </c>
      <c r="K127" s="18" t="str">
        <f>IFERROR(__xludf.DUMMYFUNCTION("""COMPUTED_VALUE"""),"Year")</f>
        <v>Year</v>
      </c>
      <c r="L127" s="18" t="str">
        <f>IFERROR(__xludf.DUMMYFUNCTION("""COMPUTED_VALUE"""),"Solo")</f>
        <v>Solo</v>
      </c>
      <c r="M127" s="18"/>
      <c r="N127" s="18"/>
      <c r="O127" s="18"/>
      <c r="P127" s="19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5" t="str">
        <f>IFERROR(__xludf.DUMMYFUNCTION("""COMPUTED_VALUE"""),"WR")</f>
        <v>WR</v>
      </c>
      <c r="B128" s="5" t="str">
        <f>IFERROR(__xludf.DUMMYFUNCTION("""COMPUTED_VALUE"""),"Jackson")</f>
        <v>Jackson</v>
      </c>
      <c r="C128" s="5" t="str">
        <f>IFERROR(__xludf.DUMMYFUNCTION("""COMPUTED_VALUE"""),"Kenny")</f>
        <v>Kenny</v>
      </c>
      <c r="D128" s="5">
        <f>IFERROR(__xludf.DUMMYFUNCTION("""COMPUTED_VALUE"""),64.0)</f>
        <v>64</v>
      </c>
      <c r="E128" s="5">
        <f>IFERROR(__xludf.DUMMYFUNCTION("""COMPUTED_VALUE"""),803.0)</f>
        <v>803</v>
      </c>
      <c r="F128" s="5">
        <f>IFERROR(__xludf.DUMMYFUNCTION("""COMPUTED_VALUE"""),12.5)</f>
        <v>12.5</v>
      </c>
      <c r="G128" s="5">
        <f>IFERROR(__xludf.DUMMYFUNCTION("""COMPUTED_VALUE"""),0.0)</f>
        <v>0</v>
      </c>
      <c r="H128" s="5" t="str">
        <f>IFERROR(__xludf.DUMMYFUNCTION("""COMPUTED_VALUE"""),"PHI")</f>
        <v>PHI</v>
      </c>
      <c r="I128" s="5" t="str">
        <f>IFERROR(__xludf.DUMMYFUNCTION("""COMPUTED_VALUE"""),"AD")</f>
        <v>AD</v>
      </c>
      <c r="J128" s="5">
        <f>IFERROR(__xludf.DUMMYFUNCTION("""COMPUTED_VALUE"""),21.0)</f>
        <v>21</v>
      </c>
      <c r="K128" s="5">
        <f>IFERROR(__xludf.DUMMYFUNCTION("""COMPUTED_VALUE"""),2026.0)</f>
        <v>2026</v>
      </c>
      <c r="L128" s="5" t="str">
        <f>IFERROR(__xludf.DUMMYFUNCTION("""COMPUTED_VALUE"""),"No")</f>
        <v>No</v>
      </c>
      <c r="M128" s="5"/>
      <c r="N128" s="5"/>
      <c r="O128" s="5"/>
      <c r="P128" s="23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5" t="str">
        <f>IFERROR(__xludf.DUMMYFUNCTION("""COMPUTED_VALUE"""),"RB")</f>
        <v>RB</v>
      </c>
      <c r="B129" s="5" t="str">
        <f>IFERROR(__xludf.DUMMYFUNCTION("""COMPUTED_VALUE"""),"Smith")</f>
        <v>Smith</v>
      </c>
      <c r="C129" s="5" t="str">
        <f>IFERROR(__xludf.DUMMYFUNCTION("""COMPUTED_VALUE"""),"Don")</f>
        <v>Don</v>
      </c>
      <c r="D129" s="5">
        <f>IFERROR(__xludf.DUMMYFUNCTION("""COMPUTED_VALUE"""),62.0)</f>
        <v>62</v>
      </c>
      <c r="E129" s="5">
        <f>IFERROR(__xludf.DUMMYFUNCTION("""COMPUTED_VALUE"""),721.0)</f>
        <v>721</v>
      </c>
      <c r="F129" s="5">
        <f>IFERROR(__xludf.DUMMYFUNCTION("""COMPUTED_VALUE"""),11.6)</f>
        <v>11.6</v>
      </c>
      <c r="G129" s="5">
        <f>IFERROR(__xludf.DUMMYFUNCTION("""COMPUTED_VALUE"""),0.0)</f>
        <v>0</v>
      </c>
      <c r="H129" s="5" t="str">
        <f>IFERROR(__xludf.DUMMYFUNCTION("""COMPUTED_VALUE"""),"BUF")</f>
        <v>BUF</v>
      </c>
      <c r="I129" s="5" t="str">
        <f>IFERROR(__xludf.DUMMYFUNCTION("""COMPUTED_VALUE"""),"MAE")</f>
        <v>MAE</v>
      </c>
      <c r="J129" s="5">
        <f>IFERROR(__xludf.DUMMYFUNCTION("""COMPUTED_VALUE"""),19.0)</f>
        <v>19</v>
      </c>
      <c r="K129" s="5">
        <f>IFERROR(__xludf.DUMMYFUNCTION("""COMPUTED_VALUE"""),2025.0)</f>
        <v>2025</v>
      </c>
      <c r="L129" s="5" t="str">
        <f>IFERROR(__xludf.DUMMYFUNCTION("""COMPUTED_VALUE"""),"No")</f>
        <v>No</v>
      </c>
      <c r="M129" s="5"/>
      <c r="N129" s="5"/>
      <c r="O129" s="5"/>
      <c r="P129" s="23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5" t="str">
        <f>IFERROR(__xludf.DUMMYFUNCTION("""COMPUTED_VALUE"""),"RB")</f>
        <v>RB</v>
      </c>
      <c r="B130" s="5" t="str">
        <f>IFERROR(__xludf.DUMMYFUNCTION("""COMPUTED_VALUE"""),"Gray")</f>
        <v>Gray</v>
      </c>
      <c r="C130" s="5" t="str">
        <f>IFERROR(__xludf.DUMMYFUNCTION("""COMPUTED_VALUE"""),"Mel")</f>
        <v>Mel</v>
      </c>
      <c r="D130" s="5">
        <f>IFERROR(__xludf.DUMMYFUNCTION("""COMPUTED_VALUE"""),58.0)</f>
        <v>58</v>
      </c>
      <c r="E130" s="5">
        <f>IFERROR(__xludf.DUMMYFUNCTION("""COMPUTED_VALUE"""),107.0)</f>
        <v>107</v>
      </c>
      <c r="F130" s="5">
        <f>IFERROR(__xludf.DUMMYFUNCTION("""COMPUTED_VALUE"""),1.8)</f>
        <v>1.8</v>
      </c>
      <c r="G130" s="5">
        <f>IFERROR(__xludf.DUMMYFUNCTION("""COMPUTED_VALUE"""),0.0)</f>
        <v>0</v>
      </c>
      <c r="H130" s="5" t="str">
        <f>IFERROR(__xludf.DUMMYFUNCTION("""COMPUTED_VALUE"""),"DET")</f>
        <v>DET</v>
      </c>
      <c r="I130" s="5" t="str">
        <f>IFERROR(__xludf.DUMMYFUNCTION("""COMPUTED_VALUE"""),"MA")</f>
        <v>MA</v>
      </c>
      <c r="J130" s="5">
        <f>IFERROR(__xludf.DUMMYFUNCTION("""COMPUTED_VALUE"""),19.0)</f>
        <v>19</v>
      </c>
      <c r="K130" s="5">
        <f>IFERROR(__xludf.DUMMYFUNCTION("""COMPUTED_VALUE"""),2025.0)</f>
        <v>2025</v>
      </c>
      <c r="L130" s="5" t="str">
        <f>IFERROR(__xludf.DUMMYFUNCTION("""COMPUTED_VALUE"""),"No")</f>
        <v>No</v>
      </c>
      <c r="M130" s="5"/>
      <c r="N130" s="5"/>
      <c r="O130" s="5"/>
      <c r="P130" s="23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23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9" t="s">
        <v>326</v>
      </c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18" t="str">
        <f>IFERROR(__xludf.DUMMYFUNCTION("query('Kick Return'!A2:L99, ""select * where L = 'No' and I &lt;&gt; 'COMP' order by E desc limit 3"",1)"),"POS")</f>
        <v>POS</v>
      </c>
      <c r="B133" s="18" t="str">
        <f>IFERROR(__xludf.DUMMYFUNCTION("""COMPUTED_VALUE"""),"Last Name")</f>
        <v>Last Name</v>
      </c>
      <c r="C133" s="18" t="str">
        <f>IFERROR(__xludf.DUMMYFUNCTION("""COMPUTED_VALUE"""),"First Name")</f>
        <v>First Name</v>
      </c>
      <c r="D133" s="18" t="str">
        <f>IFERROR(__xludf.DUMMYFUNCTION("""COMPUTED_VALUE"""),"KICK RET")</f>
        <v>KICK RET</v>
      </c>
      <c r="E133" s="18" t="str">
        <f>IFERROR(__xludf.DUMMYFUNCTION("""COMPUTED_VALUE"""),"YDS")</f>
        <v>YDS</v>
      </c>
      <c r="F133" s="18" t="str">
        <f>IFERROR(__xludf.DUMMYFUNCTION("""COMPUTED_VALUE"""),"AVG")</f>
        <v>AVG</v>
      </c>
      <c r="G133" s="18" t="str">
        <f>IFERROR(__xludf.DUMMYFUNCTION("""COMPUTED_VALUE"""),"TD")</f>
        <v>TD</v>
      </c>
      <c r="H133" s="18" t="str">
        <f>IFERROR(__xludf.DUMMYFUNCTION("""COMPUTED_VALUE"""),"Team")</f>
        <v>Team</v>
      </c>
      <c r="I133" s="18" t="str">
        <f>IFERROR(__xludf.DUMMYFUNCTION("""COMPUTED_VALUE"""),"User")</f>
        <v>User</v>
      </c>
      <c r="J133" s="18" t="str">
        <f>IFERROR(__xludf.DUMMYFUNCTION("""COMPUTED_VALUE"""),"Season")</f>
        <v>Season</v>
      </c>
      <c r="K133" s="18" t="str">
        <f>IFERROR(__xludf.DUMMYFUNCTION("""COMPUTED_VALUE"""),"Year")</f>
        <v>Year</v>
      </c>
      <c r="L133" s="18" t="str">
        <f>IFERROR(__xludf.DUMMYFUNCTION("""COMPUTED_VALUE"""),"Solo")</f>
        <v>Solo</v>
      </c>
      <c r="M133" s="18"/>
      <c r="N133" s="18"/>
      <c r="O133" s="18"/>
      <c r="P133" s="19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5" t="str">
        <f>IFERROR(__xludf.DUMMYFUNCTION("""COMPUTED_VALUE"""),"RB")</f>
        <v>RB</v>
      </c>
      <c r="B134" s="5" t="str">
        <f>IFERROR(__xludf.DUMMYFUNCTION("""COMPUTED_VALUE"""),"Megget")</f>
        <v>Megget</v>
      </c>
      <c r="C134" s="5" t="str">
        <f>IFERROR(__xludf.DUMMYFUNCTION("""COMPUTED_VALUE"""),"Dave")</f>
        <v>Dave</v>
      </c>
      <c r="D134" s="5">
        <f>IFERROR(__xludf.DUMMYFUNCTION("""COMPUTED_VALUE"""),42.0)</f>
        <v>42</v>
      </c>
      <c r="E134" s="5">
        <f>IFERROR(__xludf.DUMMYFUNCTION("""COMPUTED_VALUE"""),1226.0)</f>
        <v>1226</v>
      </c>
      <c r="F134" s="5">
        <f>IFERROR(__xludf.DUMMYFUNCTION("""COMPUTED_VALUE"""),29.1)</f>
        <v>29.1</v>
      </c>
      <c r="G134" s="5">
        <f>IFERROR(__xludf.DUMMYFUNCTION("""COMPUTED_VALUE"""),3.0)</f>
        <v>3</v>
      </c>
      <c r="H134" s="5" t="str">
        <f>IFERROR(__xludf.DUMMYFUNCTION("""COMPUTED_VALUE"""),"GIA")</f>
        <v>GIA</v>
      </c>
      <c r="I134" s="5" t="str">
        <f>IFERROR(__xludf.DUMMYFUNCTION("""COMPUTED_VALUE"""),"PJ")</f>
        <v>PJ</v>
      </c>
      <c r="J134" s="5">
        <f>IFERROR(__xludf.DUMMYFUNCTION("""COMPUTED_VALUE"""),5.0)</f>
        <v>5</v>
      </c>
      <c r="K134" s="5">
        <f>IFERROR(__xludf.DUMMYFUNCTION("""COMPUTED_VALUE"""),2010.0)</f>
        <v>2010</v>
      </c>
      <c r="L134" s="5" t="str">
        <f>IFERROR(__xludf.DUMMYFUNCTION("""COMPUTED_VALUE"""),"No")</f>
        <v>No</v>
      </c>
      <c r="M134" s="5"/>
      <c r="N134" s="5"/>
      <c r="O134" s="5"/>
      <c r="P134" s="23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5" t="str">
        <f>IFERROR(__xludf.DUMMYFUNCTION("""COMPUTED_VALUE"""),"RB")</f>
        <v>RB</v>
      </c>
      <c r="B135" s="5" t="str">
        <f>IFERROR(__xludf.DUMMYFUNCTION("""COMPUTED_VALUE"""),"Fenerty")</f>
        <v>Fenerty</v>
      </c>
      <c r="C135" s="5" t="str">
        <f>IFERROR(__xludf.DUMMYFUNCTION("""COMPUTED_VALUE"""),"Gil")</f>
        <v>Gil</v>
      </c>
      <c r="D135" s="5">
        <f>IFERROR(__xludf.DUMMYFUNCTION("""COMPUTED_VALUE"""),56.0)</f>
        <v>56</v>
      </c>
      <c r="E135" s="5">
        <f>IFERROR(__xludf.DUMMYFUNCTION("""COMPUTED_VALUE"""),1089.0)</f>
        <v>1089</v>
      </c>
      <c r="F135" s="5">
        <f>IFERROR(__xludf.DUMMYFUNCTION("""COMPUTED_VALUE"""),19.4)</f>
        <v>19.4</v>
      </c>
      <c r="G135" s="5">
        <f>IFERROR(__xludf.DUMMYFUNCTION("""COMPUTED_VALUE"""),2.0)</f>
        <v>2</v>
      </c>
      <c r="H135" s="5" t="str">
        <f>IFERROR(__xludf.DUMMYFUNCTION("""COMPUTED_VALUE"""),"NO")</f>
        <v>NO</v>
      </c>
      <c r="I135" s="5" t="str">
        <f>IFERROR(__xludf.DUMMYFUNCTION("""COMPUTED_VALUE"""),"CR")</f>
        <v>CR</v>
      </c>
      <c r="J135" s="5">
        <f>IFERROR(__xludf.DUMMYFUNCTION("""COMPUTED_VALUE"""),8.0)</f>
        <v>8</v>
      </c>
      <c r="K135" s="5">
        <f>IFERROR(__xludf.DUMMYFUNCTION("""COMPUTED_VALUE"""),2017.0)</f>
        <v>2017</v>
      </c>
      <c r="L135" s="5" t="str">
        <f>IFERROR(__xludf.DUMMYFUNCTION("""COMPUTED_VALUE"""),"No")</f>
        <v>No</v>
      </c>
      <c r="M135" s="9"/>
      <c r="N135" s="9"/>
      <c r="O135" s="9"/>
      <c r="P135" s="42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5" t="str">
        <f>IFERROR(__xludf.DUMMYFUNCTION("""COMPUTED_VALUE"""),"RB")</f>
        <v>RB</v>
      </c>
      <c r="B136" s="5" t="str">
        <f>IFERROR(__xludf.DUMMYFUNCTION("""COMPUTED_VALUE"""),"Fenerty")</f>
        <v>Fenerty</v>
      </c>
      <c r="C136" s="5" t="str">
        <f>IFERROR(__xludf.DUMMYFUNCTION("""COMPUTED_VALUE"""),"Gil")</f>
        <v>Gil</v>
      </c>
      <c r="D136" s="5">
        <f>IFERROR(__xludf.DUMMYFUNCTION("""COMPUTED_VALUE"""),48.0)</f>
        <v>48</v>
      </c>
      <c r="E136" s="5">
        <f>IFERROR(__xludf.DUMMYFUNCTION("""COMPUTED_VALUE"""),936.0)</f>
        <v>936</v>
      </c>
      <c r="F136" s="5">
        <f>IFERROR(__xludf.DUMMYFUNCTION("""COMPUTED_VALUE"""),19.5)</f>
        <v>19.5</v>
      </c>
      <c r="G136" s="5">
        <f>IFERROR(__xludf.DUMMYFUNCTION("""COMPUTED_VALUE"""),0.0)</f>
        <v>0</v>
      </c>
      <c r="H136" s="5" t="str">
        <f>IFERROR(__xludf.DUMMYFUNCTION("""COMPUTED_VALUE"""),"NO")</f>
        <v>NO</v>
      </c>
      <c r="I136" s="5" t="str">
        <f>IFERROR(__xludf.DUMMYFUNCTION("""COMPUTED_VALUE"""),"PJ")</f>
        <v>PJ</v>
      </c>
      <c r="J136" s="5">
        <f>IFERROR(__xludf.DUMMYFUNCTION("""COMPUTED_VALUE"""),14.0)</f>
        <v>14</v>
      </c>
      <c r="K136" s="5">
        <f>IFERROR(__xludf.DUMMYFUNCTION("""COMPUTED_VALUE"""),2022.0)</f>
        <v>2022</v>
      </c>
      <c r="L136" s="5" t="str">
        <f>IFERROR(__xludf.DUMMYFUNCTION("""COMPUTED_VALUE"""),"No")</f>
        <v>No</v>
      </c>
      <c r="M136" s="9"/>
      <c r="N136" s="9"/>
      <c r="O136" s="9"/>
      <c r="P136" s="42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42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9" t="s">
        <v>340</v>
      </c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18" t="str">
        <f>IFERROR(__xludf.DUMMYFUNCTION("query('Kick Return'!A2:L99, ""select * where L = 'No' order by F desc limit 3"",1)"),"POS")</f>
        <v>POS</v>
      </c>
      <c r="B139" s="18" t="str">
        <f>IFERROR(__xludf.DUMMYFUNCTION("""COMPUTED_VALUE"""),"Last Name")</f>
        <v>Last Name</v>
      </c>
      <c r="C139" s="18" t="str">
        <f>IFERROR(__xludf.DUMMYFUNCTION("""COMPUTED_VALUE"""),"First Name")</f>
        <v>First Name</v>
      </c>
      <c r="D139" s="18" t="str">
        <f>IFERROR(__xludf.DUMMYFUNCTION("""COMPUTED_VALUE"""),"KICK RET")</f>
        <v>KICK RET</v>
      </c>
      <c r="E139" s="18" t="str">
        <f>IFERROR(__xludf.DUMMYFUNCTION("""COMPUTED_VALUE"""),"YDS")</f>
        <v>YDS</v>
      </c>
      <c r="F139" s="18" t="str">
        <f>IFERROR(__xludf.DUMMYFUNCTION("""COMPUTED_VALUE"""),"AVG")</f>
        <v>AVG</v>
      </c>
      <c r="G139" s="18" t="str">
        <f>IFERROR(__xludf.DUMMYFUNCTION("""COMPUTED_VALUE"""),"TD")</f>
        <v>TD</v>
      </c>
      <c r="H139" s="18" t="str">
        <f>IFERROR(__xludf.DUMMYFUNCTION("""COMPUTED_VALUE"""),"Team")</f>
        <v>Team</v>
      </c>
      <c r="I139" s="18" t="str">
        <f>IFERROR(__xludf.DUMMYFUNCTION("""COMPUTED_VALUE"""),"User")</f>
        <v>User</v>
      </c>
      <c r="J139" s="18" t="str">
        <f>IFERROR(__xludf.DUMMYFUNCTION("""COMPUTED_VALUE"""),"Season")</f>
        <v>Season</v>
      </c>
      <c r="K139" s="18" t="str">
        <f>IFERROR(__xludf.DUMMYFUNCTION("""COMPUTED_VALUE"""),"Year")</f>
        <v>Year</v>
      </c>
      <c r="L139" s="18" t="str">
        <f>IFERROR(__xludf.DUMMYFUNCTION("""COMPUTED_VALUE"""),"Solo")</f>
        <v>Solo</v>
      </c>
      <c r="M139" s="18"/>
      <c r="N139" s="18"/>
      <c r="O139" s="18"/>
      <c r="P139" s="19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5" t="str">
        <f>IFERROR(__xludf.DUMMYFUNCTION("""COMPUTED_VALUE"""),"RB")</f>
        <v>RB</v>
      </c>
      <c r="B140" s="5" t="str">
        <f>IFERROR(__xludf.DUMMYFUNCTION("""COMPUTED_VALUE"""),"Megget")</f>
        <v>Megget</v>
      </c>
      <c r="C140" s="5" t="str">
        <f>IFERROR(__xludf.DUMMYFUNCTION("""COMPUTED_VALUE"""),"Dave")</f>
        <v>Dave</v>
      </c>
      <c r="D140" s="5">
        <f>IFERROR(__xludf.DUMMYFUNCTION("""COMPUTED_VALUE"""),42.0)</f>
        <v>42</v>
      </c>
      <c r="E140" s="5">
        <f>IFERROR(__xludf.DUMMYFUNCTION("""COMPUTED_VALUE"""),1226.0)</f>
        <v>1226</v>
      </c>
      <c r="F140" s="5">
        <f>IFERROR(__xludf.DUMMYFUNCTION("""COMPUTED_VALUE"""),29.1)</f>
        <v>29.1</v>
      </c>
      <c r="G140" s="5">
        <f>IFERROR(__xludf.DUMMYFUNCTION("""COMPUTED_VALUE"""),3.0)</f>
        <v>3</v>
      </c>
      <c r="H140" s="5" t="str">
        <f>IFERROR(__xludf.DUMMYFUNCTION("""COMPUTED_VALUE"""),"GIA")</f>
        <v>GIA</v>
      </c>
      <c r="I140" s="5" t="str">
        <f>IFERROR(__xludf.DUMMYFUNCTION("""COMPUTED_VALUE"""),"PJ")</f>
        <v>PJ</v>
      </c>
      <c r="J140" s="5">
        <f>IFERROR(__xludf.DUMMYFUNCTION("""COMPUTED_VALUE"""),5.0)</f>
        <v>5</v>
      </c>
      <c r="K140" s="5">
        <f>IFERROR(__xludf.DUMMYFUNCTION("""COMPUTED_VALUE"""),2010.0)</f>
        <v>2010</v>
      </c>
      <c r="L140" s="5" t="str">
        <f>IFERROR(__xludf.DUMMYFUNCTION("""COMPUTED_VALUE"""),"No")</f>
        <v>No</v>
      </c>
      <c r="M140" s="5"/>
      <c r="N140" s="5"/>
      <c r="O140" s="5"/>
      <c r="P140" s="23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5" t="str">
        <f>IFERROR(__xludf.DUMMYFUNCTION("""COMPUTED_VALUE"""),"WR")</f>
        <v>WR</v>
      </c>
      <c r="B141" s="5" t="str">
        <f>IFERROR(__xludf.DUMMYFUNCTION("""COMPUTED_VALUE"""),"Jennings")</f>
        <v>Jennings</v>
      </c>
      <c r="C141" s="5" t="str">
        <f>IFERROR(__xludf.DUMMYFUNCTION("""COMPUTED_VALUE"""),"S")</f>
        <v>S</v>
      </c>
      <c r="D141" s="5">
        <f>IFERROR(__xludf.DUMMYFUNCTION("""COMPUTED_VALUE"""),32.0)</f>
        <v>32</v>
      </c>
      <c r="E141" s="5">
        <f>IFERROR(__xludf.DUMMYFUNCTION("""COMPUTED_VALUE"""),772.0)</f>
        <v>772</v>
      </c>
      <c r="F141" s="5">
        <f>IFERROR(__xludf.DUMMYFUNCTION("""COMPUTED_VALUE"""),24.1)</f>
        <v>24.1</v>
      </c>
      <c r="G141" s="5">
        <f>IFERROR(__xludf.DUMMYFUNCTION("""COMPUTED_VALUE"""),2.0)</f>
        <v>2</v>
      </c>
      <c r="H141" s="5" t="str">
        <f>IFERROR(__xludf.DUMMYFUNCTION("""COMPUTED_VALUE"""),"CIN")</f>
        <v>CIN</v>
      </c>
      <c r="I141" s="5" t="str">
        <f>IFERROR(__xludf.DUMMYFUNCTION("""COMPUTED_VALUE"""),"PJ")</f>
        <v>PJ</v>
      </c>
      <c r="J141" s="5">
        <f>IFERROR(__xludf.DUMMYFUNCTION("""COMPUTED_VALUE"""),11.0)</f>
        <v>11</v>
      </c>
      <c r="K141" s="5">
        <f>IFERROR(__xludf.DUMMYFUNCTION("""COMPUTED_VALUE"""),2019.0)</f>
        <v>2019</v>
      </c>
      <c r="L141" s="5" t="str">
        <f>IFERROR(__xludf.DUMMYFUNCTION("""COMPUTED_VALUE"""),"No")</f>
        <v>No</v>
      </c>
      <c r="M141" s="5"/>
      <c r="N141" s="5"/>
      <c r="O141" s="5"/>
      <c r="P141" s="23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5" t="str">
        <f>IFERROR(__xludf.DUMMYFUNCTION("""COMPUTED_VALUE"""),"RB")</f>
        <v>RB</v>
      </c>
      <c r="B142" s="5" t="str">
        <f>IFERROR(__xludf.DUMMYFUNCTION("""COMPUTED_VALUE"""),"Mayes")</f>
        <v>Mayes</v>
      </c>
      <c r="C142" s="5" t="str">
        <f>IFERROR(__xludf.DUMMYFUNCTION("""COMPUTED_VALUE"""),"Rueben")</f>
        <v>Rueben</v>
      </c>
      <c r="D142" s="5">
        <f>IFERROR(__xludf.DUMMYFUNCTION("""COMPUTED_VALUE"""),20.0)</f>
        <v>20</v>
      </c>
      <c r="E142" s="5">
        <f>IFERROR(__xludf.DUMMYFUNCTION("""COMPUTED_VALUE"""),470.0)</f>
        <v>470</v>
      </c>
      <c r="F142" s="5">
        <f>IFERROR(__xludf.DUMMYFUNCTION("""COMPUTED_VALUE"""),23.5)</f>
        <v>23.5</v>
      </c>
      <c r="G142" s="5">
        <f>IFERROR(__xludf.DUMMYFUNCTION("""COMPUTED_VALUE"""),0.0)</f>
        <v>0</v>
      </c>
      <c r="H142" s="5" t="str">
        <f>IFERROR(__xludf.DUMMYFUNCTION("""COMPUTED_VALUE"""),"NO")</f>
        <v>NO</v>
      </c>
      <c r="I142" s="5" t="str">
        <f>IFERROR(__xludf.DUMMYFUNCTION("""COMPUTED_VALUE"""),"AD")</f>
        <v>AD</v>
      </c>
      <c r="J142" s="5">
        <f>IFERROR(__xludf.DUMMYFUNCTION("""COMPUTED_VALUE"""),20.0)</f>
        <v>20</v>
      </c>
      <c r="K142" s="5">
        <f>IFERROR(__xludf.DUMMYFUNCTION("""COMPUTED_VALUE"""),2025.0)</f>
        <v>2025</v>
      </c>
      <c r="L142" s="5" t="str">
        <f>IFERROR(__xludf.DUMMYFUNCTION("""COMPUTED_VALUE"""),"No")</f>
        <v>No</v>
      </c>
      <c r="M142" s="5"/>
      <c r="N142" s="5"/>
      <c r="O142" s="5"/>
      <c r="P142" s="23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23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9" t="s">
        <v>354</v>
      </c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18" t="str">
        <f>IFERROR(__xludf.DUMMYFUNCTION("query('Kick Return'!A2:L99, ""select * where L = 'No' order by G desc limit 3"",1)"),"POS")</f>
        <v>POS</v>
      </c>
      <c r="B145" s="18" t="str">
        <f>IFERROR(__xludf.DUMMYFUNCTION("""COMPUTED_VALUE"""),"Last Name")</f>
        <v>Last Name</v>
      </c>
      <c r="C145" s="18" t="str">
        <f>IFERROR(__xludf.DUMMYFUNCTION("""COMPUTED_VALUE"""),"First Name")</f>
        <v>First Name</v>
      </c>
      <c r="D145" s="18" t="str">
        <f>IFERROR(__xludf.DUMMYFUNCTION("""COMPUTED_VALUE"""),"KICK RET")</f>
        <v>KICK RET</v>
      </c>
      <c r="E145" s="18" t="str">
        <f>IFERROR(__xludf.DUMMYFUNCTION("""COMPUTED_VALUE"""),"YDS")</f>
        <v>YDS</v>
      </c>
      <c r="F145" s="18" t="str">
        <f>IFERROR(__xludf.DUMMYFUNCTION("""COMPUTED_VALUE"""),"AVG")</f>
        <v>AVG</v>
      </c>
      <c r="G145" s="18" t="str">
        <f>IFERROR(__xludf.DUMMYFUNCTION("""COMPUTED_VALUE"""),"TD")</f>
        <v>TD</v>
      </c>
      <c r="H145" s="18" t="str">
        <f>IFERROR(__xludf.DUMMYFUNCTION("""COMPUTED_VALUE"""),"Team")</f>
        <v>Team</v>
      </c>
      <c r="I145" s="18" t="str">
        <f>IFERROR(__xludf.DUMMYFUNCTION("""COMPUTED_VALUE"""),"User")</f>
        <v>User</v>
      </c>
      <c r="J145" s="18" t="str">
        <f>IFERROR(__xludf.DUMMYFUNCTION("""COMPUTED_VALUE"""),"Season")</f>
        <v>Season</v>
      </c>
      <c r="K145" s="18" t="str">
        <f>IFERROR(__xludf.DUMMYFUNCTION("""COMPUTED_VALUE"""),"Year")</f>
        <v>Year</v>
      </c>
      <c r="L145" s="18" t="str">
        <f>IFERROR(__xludf.DUMMYFUNCTION("""COMPUTED_VALUE"""),"Solo")</f>
        <v>Solo</v>
      </c>
      <c r="M145" s="18"/>
      <c r="N145" s="18"/>
      <c r="O145" s="18"/>
      <c r="P145" s="19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5" t="str">
        <f>IFERROR(__xludf.DUMMYFUNCTION("""COMPUTED_VALUE"""),"RB")</f>
        <v>RB</v>
      </c>
      <c r="B146" s="5" t="str">
        <f>IFERROR(__xludf.DUMMYFUNCTION("""COMPUTED_VALUE"""),"Megget")</f>
        <v>Megget</v>
      </c>
      <c r="C146" s="5" t="str">
        <f>IFERROR(__xludf.DUMMYFUNCTION("""COMPUTED_VALUE"""),"Dave")</f>
        <v>Dave</v>
      </c>
      <c r="D146" s="5">
        <f>IFERROR(__xludf.DUMMYFUNCTION("""COMPUTED_VALUE"""),42.0)</f>
        <v>42</v>
      </c>
      <c r="E146" s="5">
        <f>IFERROR(__xludf.DUMMYFUNCTION("""COMPUTED_VALUE"""),911.0)</f>
        <v>911</v>
      </c>
      <c r="F146" s="5">
        <f>IFERROR(__xludf.DUMMYFUNCTION("""COMPUTED_VALUE"""),21.6)</f>
        <v>21.6</v>
      </c>
      <c r="G146" s="5">
        <f>IFERROR(__xludf.DUMMYFUNCTION("""COMPUTED_VALUE"""),6.0)</f>
        <v>6</v>
      </c>
      <c r="H146" s="5" t="str">
        <f>IFERROR(__xludf.DUMMYFUNCTION("""COMPUTED_VALUE"""),"GIA")</f>
        <v>GIA</v>
      </c>
      <c r="I146" s="5" t="str">
        <f>IFERROR(__xludf.DUMMYFUNCTION("""COMPUTED_VALUE"""),"PJ")</f>
        <v>PJ</v>
      </c>
      <c r="J146" s="5">
        <f>IFERROR(__xludf.DUMMYFUNCTION("""COMPUTED_VALUE"""),7.0)</f>
        <v>7</v>
      </c>
      <c r="K146" s="5">
        <f>IFERROR(__xludf.DUMMYFUNCTION("""COMPUTED_VALUE"""),2017.0)</f>
        <v>2017</v>
      </c>
      <c r="L146" s="5" t="str">
        <f>IFERROR(__xludf.DUMMYFUNCTION("""COMPUTED_VALUE"""),"No")</f>
        <v>No</v>
      </c>
      <c r="M146" s="5"/>
      <c r="N146" s="5"/>
      <c r="O146" s="5"/>
      <c r="P146" s="23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5" t="str">
        <f>IFERROR(__xludf.DUMMYFUNCTION("""COMPUTED_VALUE"""),"RB")</f>
        <v>RB</v>
      </c>
      <c r="B147" s="5" t="str">
        <f>IFERROR(__xludf.DUMMYFUNCTION("""COMPUTED_VALUE"""),"Megget")</f>
        <v>Megget</v>
      </c>
      <c r="C147" s="5" t="str">
        <f>IFERROR(__xludf.DUMMYFUNCTION("""COMPUTED_VALUE"""),"Dave")</f>
        <v>Dave</v>
      </c>
      <c r="D147" s="5">
        <f>IFERROR(__xludf.DUMMYFUNCTION("""COMPUTED_VALUE"""),42.0)</f>
        <v>42</v>
      </c>
      <c r="E147" s="5">
        <f>IFERROR(__xludf.DUMMYFUNCTION("""COMPUTED_VALUE"""),1226.0)</f>
        <v>1226</v>
      </c>
      <c r="F147" s="5">
        <f>IFERROR(__xludf.DUMMYFUNCTION("""COMPUTED_VALUE"""),29.1)</f>
        <v>29.1</v>
      </c>
      <c r="G147" s="5">
        <f>IFERROR(__xludf.DUMMYFUNCTION("""COMPUTED_VALUE"""),3.0)</f>
        <v>3</v>
      </c>
      <c r="H147" s="5" t="str">
        <f>IFERROR(__xludf.DUMMYFUNCTION("""COMPUTED_VALUE"""),"GIA")</f>
        <v>GIA</v>
      </c>
      <c r="I147" s="5" t="str">
        <f>IFERROR(__xludf.DUMMYFUNCTION("""COMPUTED_VALUE"""),"PJ")</f>
        <v>PJ</v>
      </c>
      <c r="J147" s="5">
        <f>IFERROR(__xludf.DUMMYFUNCTION("""COMPUTED_VALUE"""),5.0)</f>
        <v>5</v>
      </c>
      <c r="K147" s="5">
        <f>IFERROR(__xludf.DUMMYFUNCTION("""COMPUTED_VALUE"""),2010.0)</f>
        <v>2010</v>
      </c>
      <c r="L147" s="5" t="str">
        <f>IFERROR(__xludf.DUMMYFUNCTION("""COMPUTED_VALUE"""),"No")</f>
        <v>No</v>
      </c>
      <c r="M147" s="5"/>
      <c r="N147" s="5"/>
      <c r="O147" s="5"/>
      <c r="P147" s="23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5" t="str">
        <f>IFERROR(__xludf.DUMMYFUNCTION("""COMPUTED_VALUE"""),"RB")</f>
        <v>RB</v>
      </c>
      <c r="B148" s="5" t="str">
        <f>IFERROR(__xludf.DUMMYFUNCTION("""COMPUTED_VALUE"""),"Jones")</f>
        <v>Jones</v>
      </c>
      <c r="C148" s="5" t="str">
        <f>IFERROR(__xludf.DUMMYFUNCTION("""COMPUTED_VALUE"""),"Keith")</f>
        <v>Keith</v>
      </c>
      <c r="D148" s="5">
        <f>IFERROR(__xludf.DUMMYFUNCTION("""COMPUTED_VALUE"""),49.0)</f>
        <v>49</v>
      </c>
      <c r="E148" s="5">
        <f>IFERROR(__xludf.DUMMYFUNCTION("""COMPUTED_VALUE"""),882.0)</f>
        <v>882</v>
      </c>
      <c r="F148" s="5">
        <f>IFERROR(__xludf.DUMMYFUNCTION("""COMPUTED_VALUE"""),18.0)</f>
        <v>18</v>
      </c>
      <c r="G148" s="5">
        <f>IFERROR(__xludf.DUMMYFUNCTION("""COMPUTED_VALUE"""),3.0)</f>
        <v>3</v>
      </c>
      <c r="H148" s="5" t="str">
        <f>IFERROR(__xludf.DUMMYFUNCTION("""COMPUTED_VALUE"""),"ATL")</f>
        <v>ATL</v>
      </c>
      <c r="I148" s="5" t="str">
        <f>IFERROR(__xludf.DUMMYFUNCTION("""COMPUTED_VALUE"""),"PJ")</f>
        <v>PJ</v>
      </c>
      <c r="J148" s="5">
        <f>IFERROR(__xludf.DUMMYFUNCTION("""COMPUTED_VALUE"""),8.0)</f>
        <v>8</v>
      </c>
      <c r="K148" s="5">
        <f>IFERROR(__xludf.DUMMYFUNCTION("""COMPUTED_VALUE"""),2017.0)</f>
        <v>2017</v>
      </c>
      <c r="L148" s="5" t="str">
        <f>IFERROR(__xludf.DUMMYFUNCTION("""COMPUTED_VALUE"""),"No")</f>
        <v>No</v>
      </c>
      <c r="M148" s="5"/>
      <c r="N148" s="5"/>
      <c r="O148" s="5"/>
      <c r="P148" s="23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23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9" t="s">
        <v>362</v>
      </c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18" t="str">
        <f>IFERROR(__xludf.DUMMYFUNCTION("query(Punt!A2:K109, ""select * where K = 'No' order by D desc limit 3"",1)"),"POS")</f>
        <v>POS</v>
      </c>
      <c r="B151" s="18" t="str">
        <f>IFERROR(__xludf.DUMMYFUNCTION("""COMPUTED_VALUE"""),"Last Name")</f>
        <v>Last Name</v>
      </c>
      <c r="C151" s="18" t="str">
        <f>IFERROR(__xludf.DUMMYFUNCTION("""COMPUTED_VALUE"""),"First Name")</f>
        <v>First Name</v>
      </c>
      <c r="D151" s="18" t="str">
        <f>IFERROR(__xludf.DUMMYFUNCTION("""COMPUTED_VALUE"""),"No")</f>
        <v>No</v>
      </c>
      <c r="E151" s="18" t="str">
        <f>IFERROR(__xludf.DUMMYFUNCTION("""COMPUTED_VALUE"""),"YDS")</f>
        <v>YDS</v>
      </c>
      <c r="F151" s="18" t="str">
        <f>IFERROR(__xludf.DUMMYFUNCTION("""COMPUTED_VALUE"""),"AVG")</f>
        <v>AVG</v>
      </c>
      <c r="G151" s="18" t="str">
        <f>IFERROR(__xludf.DUMMYFUNCTION("""COMPUTED_VALUE"""),"Team")</f>
        <v>Team</v>
      </c>
      <c r="H151" s="18" t="str">
        <f>IFERROR(__xludf.DUMMYFUNCTION("""COMPUTED_VALUE"""),"User")</f>
        <v>User</v>
      </c>
      <c r="I151" s="18" t="str">
        <f>IFERROR(__xludf.DUMMYFUNCTION("""COMPUTED_VALUE"""),"Season")</f>
        <v>Season</v>
      </c>
      <c r="J151" s="18" t="str">
        <f>IFERROR(__xludf.DUMMYFUNCTION("""COMPUTED_VALUE"""),"Year")</f>
        <v>Year</v>
      </c>
      <c r="K151" s="18" t="str">
        <f>IFERROR(__xludf.DUMMYFUNCTION("""COMPUTED_VALUE"""),"Solo")</f>
        <v>Solo</v>
      </c>
      <c r="L151" s="18"/>
      <c r="M151" s="18"/>
      <c r="N151" s="18"/>
      <c r="O151" s="18"/>
      <c r="P151" s="19"/>
      <c r="Q151" s="18"/>
      <c r="R151" s="18"/>
      <c r="S151" s="18"/>
      <c r="T151" s="18"/>
      <c r="U151" s="18"/>
      <c r="V151" s="18"/>
      <c r="W151" s="18"/>
      <c r="X151" s="18"/>
      <c r="Y151" s="18"/>
      <c r="Z151" s="18"/>
    </row>
    <row r="152">
      <c r="A152" s="5" t="str">
        <f>IFERROR(__xludf.DUMMYFUNCTION("""COMPUTED_VALUE"""),"P")</f>
        <v>P</v>
      </c>
      <c r="B152" s="5" t="str">
        <f>IFERROR(__xludf.DUMMYFUNCTION("""COMPUTED_VALUE"""),"Stryzinski")</f>
        <v>Stryzinski</v>
      </c>
      <c r="C152" s="5" t="str">
        <f>IFERROR(__xludf.DUMMYFUNCTION("""COMPUTED_VALUE"""),"Dan")</f>
        <v>Dan</v>
      </c>
      <c r="D152" s="5">
        <f>IFERROR(__xludf.DUMMYFUNCTION("""COMPUTED_VALUE"""),22.0)</f>
        <v>22</v>
      </c>
      <c r="E152" s="5">
        <f>IFERROR(__xludf.DUMMYFUNCTION("""COMPUTED_VALUE"""),1186.0)</f>
        <v>1186</v>
      </c>
      <c r="F152" s="5">
        <f>IFERROR(__xludf.DUMMYFUNCTION("""COMPUTED_VALUE"""),53.9)</f>
        <v>53.9</v>
      </c>
      <c r="G152" s="5" t="str">
        <f>IFERROR(__xludf.DUMMYFUNCTION("""COMPUTED_VALUE"""),"PIT")</f>
        <v>PIT</v>
      </c>
      <c r="H152" s="5" t="str">
        <f>IFERROR(__xludf.DUMMYFUNCTION("""COMPUTED_VALUE"""),"WB")</f>
        <v>WB</v>
      </c>
      <c r="I152" s="5">
        <f>IFERROR(__xludf.DUMMYFUNCTION("""COMPUTED_VALUE"""),12.0)</f>
        <v>12</v>
      </c>
      <c r="J152" s="5">
        <f>IFERROR(__xludf.DUMMYFUNCTION("""COMPUTED_VALUE"""),2020.0)</f>
        <v>2020</v>
      </c>
      <c r="K152" s="5" t="str">
        <f>IFERROR(__xludf.DUMMYFUNCTION("""COMPUTED_VALUE"""),"No")</f>
        <v>No</v>
      </c>
      <c r="L152" s="5"/>
      <c r="M152" s="5"/>
      <c r="N152" s="5"/>
      <c r="O152" s="5"/>
      <c r="P152" s="23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5" t="str">
        <f>IFERROR(__xludf.DUMMYFUNCTION("""COMPUTED_VALUE"""),"P")</f>
        <v>P</v>
      </c>
      <c r="B153" s="5" t="str">
        <f>IFERROR(__xludf.DUMMYFUNCTION("""COMPUTED_VALUE"""),"Goodburn")</f>
        <v>Goodburn</v>
      </c>
      <c r="C153" s="5" t="str">
        <f>IFERROR(__xludf.DUMMYFUNCTION("""COMPUTED_VALUE"""),"Kelly")</f>
        <v>Kelly</v>
      </c>
      <c r="D153" s="5">
        <f>IFERROR(__xludf.DUMMYFUNCTION("""COMPUTED_VALUE"""),16.0)</f>
        <v>16</v>
      </c>
      <c r="E153" s="5">
        <f>IFERROR(__xludf.DUMMYFUNCTION("""COMPUTED_VALUE"""),880.0)</f>
        <v>880</v>
      </c>
      <c r="F153" s="5">
        <f>IFERROR(__xludf.DUMMYFUNCTION("""COMPUTED_VALUE"""),55.0)</f>
        <v>55</v>
      </c>
      <c r="G153" s="5" t="str">
        <f>IFERROR(__xludf.DUMMYFUNCTION("""COMPUTED_VALUE"""),"WAS")</f>
        <v>WAS</v>
      </c>
      <c r="H153" s="5" t="str">
        <f>IFERROR(__xludf.DUMMYFUNCTION("""COMPUTED_VALUE"""),"WB")</f>
        <v>WB</v>
      </c>
      <c r="I153" s="5">
        <f>IFERROR(__xludf.DUMMYFUNCTION("""COMPUTED_VALUE"""),8.0)</f>
        <v>8</v>
      </c>
      <c r="J153" s="5">
        <f>IFERROR(__xludf.DUMMYFUNCTION("""COMPUTED_VALUE"""),2017.0)</f>
        <v>2017</v>
      </c>
      <c r="K153" s="5" t="str">
        <f>IFERROR(__xludf.DUMMYFUNCTION("""COMPUTED_VALUE"""),"No")</f>
        <v>No</v>
      </c>
      <c r="L153" s="5"/>
      <c r="M153" s="5"/>
      <c r="N153" s="5"/>
      <c r="O153" s="5"/>
      <c r="P153" s="23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5" t="str">
        <f>IFERROR(__xludf.DUMMYFUNCTION("""COMPUTED_VALUE"""),"P")</f>
        <v>P</v>
      </c>
      <c r="B154" s="5" t="str">
        <f>IFERROR(__xludf.DUMMYFUNCTION("""COMPUTED_VALUE"""),"Donnelly")</f>
        <v>Donnelly</v>
      </c>
      <c r="C154" s="5" t="str">
        <f>IFERROR(__xludf.DUMMYFUNCTION("""COMPUTED_VALUE"""),"Richard")</f>
        <v>Richard</v>
      </c>
      <c r="D154" s="5">
        <f>IFERROR(__xludf.DUMMYFUNCTION("""COMPUTED_VALUE"""),16.0)</f>
        <v>16</v>
      </c>
      <c r="E154" s="5">
        <f>IFERROR(__xludf.DUMMYFUNCTION("""COMPUTED_VALUE"""),1022.0)</f>
        <v>1022</v>
      </c>
      <c r="F154" s="5">
        <f>IFERROR(__xludf.DUMMYFUNCTION("""COMPUTED_VALUE"""),63.8)</f>
        <v>63.8</v>
      </c>
      <c r="G154" s="5" t="str">
        <f>IFERROR(__xludf.DUMMYFUNCTION("""COMPUTED_VALUE"""),"SEA")</f>
        <v>SEA</v>
      </c>
      <c r="H154" s="5" t="str">
        <f>IFERROR(__xludf.DUMMYFUNCTION("""COMPUTED_VALUE"""),"WB")</f>
        <v>WB</v>
      </c>
      <c r="I154" s="5">
        <f>IFERROR(__xludf.DUMMYFUNCTION("""COMPUTED_VALUE"""),14.0)</f>
        <v>14</v>
      </c>
      <c r="J154" s="5">
        <f>IFERROR(__xludf.DUMMYFUNCTION("""COMPUTED_VALUE"""),2022.0)</f>
        <v>2022</v>
      </c>
      <c r="K154" s="5" t="str">
        <f>IFERROR(__xludf.DUMMYFUNCTION("""COMPUTED_VALUE"""),"No")</f>
        <v>No</v>
      </c>
      <c r="L154" s="5"/>
      <c r="M154" s="5"/>
      <c r="N154" s="5"/>
      <c r="O154" s="5"/>
      <c r="P154" s="23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23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9" t="s">
        <v>369</v>
      </c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18" t="str">
        <f>IFERROR(__xludf.DUMMYFUNCTION("query(Punt!A2:K109, ""select * where K = 'No' order by E desc limit 3"",1)"),"POS")</f>
        <v>POS</v>
      </c>
      <c r="B157" s="18" t="str">
        <f>IFERROR(__xludf.DUMMYFUNCTION("""COMPUTED_VALUE"""),"Last Name")</f>
        <v>Last Name</v>
      </c>
      <c r="C157" s="18" t="str">
        <f>IFERROR(__xludf.DUMMYFUNCTION("""COMPUTED_VALUE"""),"First Name")</f>
        <v>First Name</v>
      </c>
      <c r="D157" s="18" t="str">
        <f>IFERROR(__xludf.DUMMYFUNCTION("""COMPUTED_VALUE"""),"No")</f>
        <v>No</v>
      </c>
      <c r="E157" s="18" t="str">
        <f>IFERROR(__xludf.DUMMYFUNCTION("""COMPUTED_VALUE"""),"YDS")</f>
        <v>YDS</v>
      </c>
      <c r="F157" s="18" t="str">
        <f>IFERROR(__xludf.DUMMYFUNCTION("""COMPUTED_VALUE"""),"AVG")</f>
        <v>AVG</v>
      </c>
      <c r="G157" s="18" t="str">
        <f>IFERROR(__xludf.DUMMYFUNCTION("""COMPUTED_VALUE"""),"Team")</f>
        <v>Team</v>
      </c>
      <c r="H157" s="18" t="str">
        <f>IFERROR(__xludf.DUMMYFUNCTION("""COMPUTED_VALUE"""),"User")</f>
        <v>User</v>
      </c>
      <c r="I157" s="18" t="str">
        <f>IFERROR(__xludf.DUMMYFUNCTION("""COMPUTED_VALUE"""),"Season")</f>
        <v>Season</v>
      </c>
      <c r="J157" s="18" t="str">
        <f>IFERROR(__xludf.DUMMYFUNCTION("""COMPUTED_VALUE"""),"Year")</f>
        <v>Year</v>
      </c>
      <c r="K157" s="18" t="str">
        <f>IFERROR(__xludf.DUMMYFUNCTION("""COMPUTED_VALUE"""),"Solo")</f>
        <v>Solo</v>
      </c>
      <c r="L157" s="18"/>
      <c r="M157" s="18"/>
      <c r="N157" s="18"/>
      <c r="O157" s="18"/>
      <c r="P157" s="19"/>
      <c r="Q157" s="18"/>
      <c r="R157" s="18"/>
      <c r="S157" s="18"/>
      <c r="T157" s="18"/>
      <c r="U157" s="18"/>
      <c r="V157" s="18"/>
      <c r="W157" s="18"/>
      <c r="X157" s="18"/>
      <c r="Y157" s="18"/>
      <c r="Z157" s="18"/>
    </row>
    <row r="158">
      <c r="A158" s="5" t="str">
        <f>IFERROR(__xludf.DUMMYFUNCTION("""COMPUTED_VALUE"""),"P")</f>
        <v>P</v>
      </c>
      <c r="B158" s="5" t="str">
        <f>IFERROR(__xludf.DUMMYFUNCTION("""COMPUTED_VALUE"""),"Stryzinski")</f>
        <v>Stryzinski</v>
      </c>
      <c r="C158" s="5" t="str">
        <f>IFERROR(__xludf.DUMMYFUNCTION("""COMPUTED_VALUE"""),"Dan")</f>
        <v>Dan</v>
      </c>
      <c r="D158" s="5">
        <f>IFERROR(__xludf.DUMMYFUNCTION("""COMPUTED_VALUE"""),22.0)</f>
        <v>22</v>
      </c>
      <c r="E158" s="5">
        <f>IFERROR(__xludf.DUMMYFUNCTION("""COMPUTED_VALUE"""),1186.0)</f>
        <v>1186</v>
      </c>
      <c r="F158" s="5">
        <f>IFERROR(__xludf.DUMMYFUNCTION("""COMPUTED_VALUE"""),53.9)</f>
        <v>53.9</v>
      </c>
      <c r="G158" s="5" t="str">
        <f>IFERROR(__xludf.DUMMYFUNCTION("""COMPUTED_VALUE"""),"PIT")</f>
        <v>PIT</v>
      </c>
      <c r="H158" s="5" t="str">
        <f>IFERROR(__xludf.DUMMYFUNCTION("""COMPUTED_VALUE"""),"WB")</f>
        <v>WB</v>
      </c>
      <c r="I158" s="5">
        <f>IFERROR(__xludf.DUMMYFUNCTION("""COMPUTED_VALUE"""),12.0)</f>
        <v>12</v>
      </c>
      <c r="J158" s="5">
        <f>IFERROR(__xludf.DUMMYFUNCTION("""COMPUTED_VALUE"""),2020.0)</f>
        <v>2020</v>
      </c>
      <c r="K158" s="5" t="str">
        <f>IFERROR(__xludf.DUMMYFUNCTION("""COMPUTED_VALUE"""),"No")</f>
        <v>No</v>
      </c>
      <c r="L158" s="5"/>
      <c r="M158" s="5"/>
      <c r="N158" s="5"/>
      <c r="O158" s="5"/>
      <c r="P158" s="23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5" t="str">
        <f>IFERROR(__xludf.DUMMYFUNCTION("""COMPUTED_VALUE"""),"P")</f>
        <v>P</v>
      </c>
      <c r="B159" s="5" t="str">
        <f>IFERROR(__xludf.DUMMYFUNCTION("""COMPUTED_VALUE"""),"Donnelly")</f>
        <v>Donnelly</v>
      </c>
      <c r="C159" s="5" t="str">
        <f>IFERROR(__xludf.DUMMYFUNCTION("""COMPUTED_VALUE"""),"Richard")</f>
        <v>Richard</v>
      </c>
      <c r="D159" s="5">
        <f>IFERROR(__xludf.DUMMYFUNCTION("""COMPUTED_VALUE"""),16.0)</f>
        <v>16</v>
      </c>
      <c r="E159" s="5">
        <f>IFERROR(__xludf.DUMMYFUNCTION("""COMPUTED_VALUE"""),1022.0)</f>
        <v>1022</v>
      </c>
      <c r="F159" s="5">
        <f>IFERROR(__xludf.DUMMYFUNCTION("""COMPUTED_VALUE"""),63.8)</f>
        <v>63.8</v>
      </c>
      <c r="G159" s="5" t="str">
        <f>IFERROR(__xludf.DUMMYFUNCTION("""COMPUTED_VALUE"""),"SEA")</f>
        <v>SEA</v>
      </c>
      <c r="H159" s="5" t="str">
        <f>IFERROR(__xludf.DUMMYFUNCTION("""COMPUTED_VALUE"""),"WB")</f>
        <v>WB</v>
      </c>
      <c r="I159" s="5">
        <f>IFERROR(__xludf.DUMMYFUNCTION("""COMPUTED_VALUE"""),14.0)</f>
        <v>14</v>
      </c>
      <c r="J159" s="5">
        <f>IFERROR(__xludf.DUMMYFUNCTION("""COMPUTED_VALUE"""),2022.0)</f>
        <v>2022</v>
      </c>
      <c r="K159" s="5" t="str">
        <f>IFERROR(__xludf.DUMMYFUNCTION("""COMPUTED_VALUE"""),"No")</f>
        <v>No</v>
      </c>
      <c r="L159" s="5"/>
      <c r="M159" s="5"/>
      <c r="N159" s="5"/>
      <c r="O159" s="5"/>
      <c r="P159" s="23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5" t="str">
        <f>IFERROR(__xludf.DUMMYFUNCTION("""COMPUTED_VALUE"""),"P")</f>
        <v>P</v>
      </c>
      <c r="B160" s="5" t="str">
        <f>IFERROR(__xludf.DUMMYFUNCTION("""COMPUTED_VALUE"""),"Hansen")</f>
        <v>Hansen</v>
      </c>
      <c r="C160" s="5" t="str">
        <f>IFERROR(__xludf.DUMMYFUNCTION("""COMPUTED_VALUE"""),"Brian")</f>
        <v>Brian</v>
      </c>
      <c r="D160" s="5">
        <f>IFERROR(__xludf.DUMMYFUNCTION("""COMPUTED_VALUE"""),15.0)</f>
        <v>15</v>
      </c>
      <c r="E160" s="5">
        <f>IFERROR(__xludf.DUMMYFUNCTION("""COMPUTED_VALUE"""),923.0)</f>
        <v>923</v>
      </c>
      <c r="F160" s="5">
        <f>IFERROR(__xludf.DUMMYFUNCTION("""COMPUTED_VALUE"""),61.5)</f>
        <v>61.5</v>
      </c>
      <c r="G160" s="5" t="str">
        <f>IFERROR(__xludf.DUMMYFUNCTION("""COMPUTED_VALUE"""),"NE")</f>
        <v>NE</v>
      </c>
      <c r="H160" s="5" t="str">
        <f>IFERROR(__xludf.DUMMYFUNCTION("""COMPUTED_VALUE"""),"CR")</f>
        <v>CR</v>
      </c>
      <c r="I160" s="5">
        <f>IFERROR(__xludf.DUMMYFUNCTION("""COMPUTED_VALUE"""),16.0)</f>
        <v>16</v>
      </c>
      <c r="J160" s="5">
        <f>IFERROR(__xludf.DUMMYFUNCTION("""COMPUTED_VALUE"""),2024.0)</f>
        <v>2024</v>
      </c>
      <c r="K160" s="5" t="str">
        <f>IFERROR(__xludf.DUMMYFUNCTION("""COMPUTED_VALUE"""),"No")</f>
        <v>No</v>
      </c>
      <c r="L160" s="5"/>
      <c r="M160" s="5"/>
      <c r="N160" s="5"/>
      <c r="O160" s="5"/>
      <c r="P160" s="23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23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9" t="s">
        <v>385</v>
      </c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18" t="str">
        <f>IFERROR(__xludf.DUMMYFUNCTION("query(Punt!A2:K109, ""select * where K = 'No' order by F desc limit 3"",1)"),"POS")</f>
        <v>POS</v>
      </c>
      <c r="B163" s="18" t="str">
        <f>IFERROR(__xludf.DUMMYFUNCTION("""COMPUTED_VALUE"""),"Last Name")</f>
        <v>Last Name</v>
      </c>
      <c r="C163" s="18" t="str">
        <f>IFERROR(__xludf.DUMMYFUNCTION("""COMPUTED_VALUE"""),"First Name")</f>
        <v>First Name</v>
      </c>
      <c r="D163" s="18" t="str">
        <f>IFERROR(__xludf.DUMMYFUNCTION("""COMPUTED_VALUE"""),"No")</f>
        <v>No</v>
      </c>
      <c r="E163" s="18" t="str">
        <f>IFERROR(__xludf.DUMMYFUNCTION("""COMPUTED_VALUE"""),"YDS")</f>
        <v>YDS</v>
      </c>
      <c r="F163" s="18" t="str">
        <f>IFERROR(__xludf.DUMMYFUNCTION("""COMPUTED_VALUE"""),"AVG")</f>
        <v>AVG</v>
      </c>
      <c r="G163" s="18" t="str">
        <f>IFERROR(__xludf.DUMMYFUNCTION("""COMPUTED_VALUE"""),"Team")</f>
        <v>Team</v>
      </c>
      <c r="H163" s="18" t="str">
        <f>IFERROR(__xludf.DUMMYFUNCTION("""COMPUTED_VALUE"""),"User")</f>
        <v>User</v>
      </c>
      <c r="I163" s="18" t="str">
        <f>IFERROR(__xludf.DUMMYFUNCTION("""COMPUTED_VALUE"""),"Season")</f>
        <v>Season</v>
      </c>
      <c r="J163" s="18" t="str">
        <f>IFERROR(__xludf.DUMMYFUNCTION("""COMPUTED_VALUE"""),"Year")</f>
        <v>Year</v>
      </c>
      <c r="K163" s="18" t="str">
        <f>IFERROR(__xludf.DUMMYFUNCTION("""COMPUTED_VALUE"""),"Solo")</f>
        <v>Solo</v>
      </c>
      <c r="L163" s="18"/>
      <c r="M163" s="18"/>
      <c r="N163" s="18"/>
      <c r="O163" s="18"/>
      <c r="P163" s="19"/>
      <c r="Q163" s="18"/>
      <c r="R163" s="18"/>
      <c r="S163" s="18"/>
      <c r="T163" s="18"/>
      <c r="U163" s="18"/>
      <c r="V163" s="18"/>
      <c r="W163" s="18"/>
      <c r="X163" s="18"/>
      <c r="Y163" s="18"/>
      <c r="Z163" s="18"/>
    </row>
    <row r="164">
      <c r="A164" s="5" t="str">
        <f>IFERROR(__xludf.DUMMYFUNCTION("""COMPUTED_VALUE"""),"P")</f>
        <v>P</v>
      </c>
      <c r="B164" s="5" t="str">
        <f>IFERROR(__xludf.DUMMYFUNCTION("""COMPUTED_VALUE"""),"Landetta")</f>
        <v>Landetta</v>
      </c>
      <c r="C164" s="5" t="str">
        <f>IFERROR(__xludf.DUMMYFUNCTION("""COMPUTED_VALUE"""),"Shawn")</f>
        <v>Shawn</v>
      </c>
      <c r="D164" s="5">
        <f>IFERROR(__xludf.DUMMYFUNCTION("""COMPUTED_VALUE"""),3.0)</f>
        <v>3</v>
      </c>
      <c r="E164" s="5">
        <f>IFERROR(__xludf.DUMMYFUNCTION("""COMPUTED_VALUE"""),233.0)</f>
        <v>233</v>
      </c>
      <c r="F164" s="5">
        <f>IFERROR(__xludf.DUMMYFUNCTION("""COMPUTED_VALUE"""),77.6)</f>
        <v>77.6</v>
      </c>
      <c r="G164" s="5" t="str">
        <f>IFERROR(__xludf.DUMMYFUNCTION("""COMPUTED_VALUE"""),"GIA")</f>
        <v>GIA</v>
      </c>
      <c r="H164" s="5" t="str">
        <f>IFERROR(__xludf.DUMMYFUNCTION("""COMPUTED_VALUE"""),"PJ")</f>
        <v>PJ</v>
      </c>
      <c r="I164" s="5">
        <f>IFERROR(__xludf.DUMMYFUNCTION("""COMPUTED_VALUE"""),7.0)</f>
        <v>7</v>
      </c>
      <c r="J164" s="5">
        <f>IFERROR(__xludf.DUMMYFUNCTION("""COMPUTED_VALUE"""),2017.0)</f>
        <v>2017</v>
      </c>
      <c r="K164" s="5" t="str">
        <f>IFERROR(__xludf.DUMMYFUNCTION("""COMPUTED_VALUE"""),"No")</f>
        <v>No</v>
      </c>
      <c r="L164" s="5"/>
      <c r="M164" s="5"/>
      <c r="N164" s="5"/>
      <c r="O164" s="5"/>
      <c r="P164" s="23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5" t="str">
        <f>IFERROR(__xludf.DUMMYFUNCTION("""COMPUTED_VALUE"""),"P")</f>
        <v>P</v>
      </c>
      <c r="B165" s="5" t="str">
        <f>IFERROR(__xludf.DUMMYFUNCTION("""COMPUTED_VALUE"""),"Landeta")</f>
        <v>Landeta</v>
      </c>
      <c r="C165" s="5" t="str">
        <f>IFERROR(__xludf.DUMMYFUNCTION("""COMPUTED_VALUE"""),"Sean")</f>
        <v>Sean</v>
      </c>
      <c r="D165" s="5">
        <f>IFERROR(__xludf.DUMMYFUNCTION("""COMPUTED_VALUE"""),4.0)</f>
        <v>4</v>
      </c>
      <c r="E165" s="5">
        <f>IFERROR(__xludf.DUMMYFUNCTION("""COMPUTED_VALUE"""),308.0)</f>
        <v>308</v>
      </c>
      <c r="F165" s="5">
        <f>IFERROR(__xludf.DUMMYFUNCTION("""COMPUTED_VALUE"""),77.0)</f>
        <v>77</v>
      </c>
      <c r="G165" s="5" t="str">
        <f>IFERROR(__xludf.DUMMYFUNCTION("""COMPUTED_VALUE"""),"GIA")</f>
        <v>GIA</v>
      </c>
      <c r="H165" s="5" t="str">
        <f>IFERROR(__xludf.DUMMYFUNCTION("""COMPUTED_VALUE"""),"CJ")</f>
        <v>CJ</v>
      </c>
      <c r="I165" s="5">
        <f>IFERROR(__xludf.DUMMYFUNCTION("""COMPUTED_VALUE"""),10.0)</f>
        <v>10</v>
      </c>
      <c r="J165" s="5">
        <f>IFERROR(__xludf.DUMMYFUNCTION("""COMPUTED_VALUE"""),2018.0)</f>
        <v>2018</v>
      </c>
      <c r="K165" s="5" t="str">
        <f>IFERROR(__xludf.DUMMYFUNCTION("""COMPUTED_VALUE"""),"No")</f>
        <v>No</v>
      </c>
      <c r="L165" s="5"/>
      <c r="M165" s="5"/>
      <c r="N165" s="5"/>
      <c r="O165" s="5"/>
      <c r="P165" s="23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5" t="str">
        <f>IFERROR(__xludf.DUMMYFUNCTION("""COMPUTED_VALUE"""),"P")</f>
        <v>P</v>
      </c>
      <c r="B166" s="5" t="str">
        <f>IFERROR(__xludf.DUMMYFUNCTION("""COMPUTED_VALUE"""),"Roby")</f>
        <v>Roby</v>
      </c>
      <c r="C166" s="5" t="str">
        <f>IFERROR(__xludf.DUMMYFUNCTION("""COMPUTED_VALUE"""),"Reggie")</f>
        <v>Reggie</v>
      </c>
      <c r="D166" s="5">
        <f>IFERROR(__xludf.DUMMYFUNCTION("""COMPUTED_VALUE"""),3.0)</f>
        <v>3</v>
      </c>
      <c r="E166" s="5">
        <f>IFERROR(__xludf.DUMMYFUNCTION("""COMPUTED_VALUE"""),228.0)</f>
        <v>228</v>
      </c>
      <c r="F166" s="5">
        <f>IFERROR(__xludf.DUMMYFUNCTION("""COMPUTED_VALUE"""),76.0)</f>
        <v>76</v>
      </c>
      <c r="G166" s="5" t="str">
        <f>IFERROR(__xludf.DUMMYFUNCTION("""COMPUTED_VALUE"""),"MIA")</f>
        <v>MIA</v>
      </c>
      <c r="H166" s="5" t="str">
        <f>IFERROR(__xludf.DUMMYFUNCTION("""COMPUTED_VALUE"""),"MA")</f>
        <v>MA</v>
      </c>
      <c r="I166" s="5">
        <f>IFERROR(__xludf.DUMMYFUNCTION("""COMPUTED_VALUE"""),17.0)</f>
        <v>17</v>
      </c>
      <c r="J166" s="5">
        <f>IFERROR(__xludf.DUMMYFUNCTION("""COMPUTED_VALUE"""),2025.0)</f>
        <v>2025</v>
      </c>
      <c r="K166" s="5" t="str">
        <f>IFERROR(__xludf.DUMMYFUNCTION("""COMPUTED_VALUE"""),"No")</f>
        <v>No</v>
      </c>
      <c r="L166" s="5"/>
      <c r="M166" s="5"/>
      <c r="N166" s="5"/>
      <c r="O166" s="5"/>
      <c r="P166" s="23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23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9" t="s">
        <v>404</v>
      </c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18" t="str">
        <f>IFERROR(__xludf.DUMMYFUNCTION("query(Defense!A2:J235, ""select * where J = 'No' order by D desc limit 3"",1)"),"POS")</f>
        <v>POS</v>
      </c>
      <c r="B169" s="18" t="str">
        <f>IFERROR(__xludf.DUMMYFUNCTION("""COMPUTED_VALUE"""),"Last Name")</f>
        <v>Last Name</v>
      </c>
      <c r="C169" s="18" t="str">
        <f>IFERROR(__xludf.DUMMYFUNCTION("""COMPUTED_VALUE"""),"First Name")</f>
        <v>First Name</v>
      </c>
      <c r="D169" s="18" t="str">
        <f>IFERROR(__xludf.DUMMYFUNCTION("""COMPUTED_VALUE"""),"SACKS")</f>
        <v>SACKS</v>
      </c>
      <c r="E169" s="18" t="str">
        <f>IFERROR(__xludf.DUMMYFUNCTION("""COMPUTED_VALUE"""),"INT")</f>
        <v>INT</v>
      </c>
      <c r="F169" s="18" t="str">
        <f>IFERROR(__xludf.DUMMYFUNCTION("""COMPUTED_VALUE"""),"Team")</f>
        <v>Team</v>
      </c>
      <c r="G169" s="18" t="str">
        <f>IFERROR(__xludf.DUMMYFUNCTION("""COMPUTED_VALUE"""),"User")</f>
        <v>User</v>
      </c>
      <c r="H169" s="18" t="str">
        <f>IFERROR(__xludf.DUMMYFUNCTION("""COMPUTED_VALUE"""),"Season")</f>
        <v>Season</v>
      </c>
      <c r="I169" s="18" t="str">
        <f>IFERROR(__xludf.DUMMYFUNCTION("""COMPUTED_VALUE"""),"Year")</f>
        <v>Year</v>
      </c>
      <c r="J169" s="18" t="str">
        <f>IFERROR(__xludf.DUMMYFUNCTION("""COMPUTED_VALUE"""),"Solo")</f>
        <v>Solo</v>
      </c>
      <c r="K169" s="18"/>
      <c r="L169" s="18"/>
      <c r="M169" s="18"/>
      <c r="N169" s="18"/>
      <c r="O169" s="18"/>
      <c r="P169" s="19"/>
      <c r="Q169" s="18"/>
      <c r="R169" s="18"/>
      <c r="S169" s="18"/>
      <c r="T169" s="18"/>
      <c r="U169" s="18"/>
      <c r="V169" s="18"/>
      <c r="W169" s="18"/>
      <c r="X169" s="18"/>
      <c r="Y169" s="18"/>
      <c r="Z169" s="18"/>
    </row>
    <row r="170">
      <c r="A170" s="5" t="str">
        <f>IFERROR(__xludf.DUMMYFUNCTION("""COMPUTED_VALUE"""),"LB")</f>
        <v>LB</v>
      </c>
      <c r="B170" s="5" t="str">
        <f>IFERROR(__xludf.DUMMYFUNCTION("""COMPUTED_VALUE"""),"Singletary")</f>
        <v>Singletary</v>
      </c>
      <c r="C170" s="5" t="str">
        <f>IFERROR(__xludf.DUMMYFUNCTION("""COMPUTED_VALUE"""),"Mike")</f>
        <v>Mike</v>
      </c>
      <c r="D170" s="5">
        <f>IFERROR(__xludf.DUMMYFUNCTION("""COMPUTED_VALUE"""),87.0)</f>
        <v>87</v>
      </c>
      <c r="E170" s="5">
        <f>IFERROR(__xludf.DUMMYFUNCTION("""COMPUTED_VALUE"""),1.0)</f>
        <v>1</v>
      </c>
      <c r="F170" s="5" t="str">
        <f>IFERROR(__xludf.DUMMYFUNCTION("""COMPUTED_VALUE"""),"CHI")</f>
        <v>CHI</v>
      </c>
      <c r="G170" s="5" t="str">
        <f>IFERROR(__xludf.DUMMYFUNCTION("""COMPUTED_VALUE"""),"CJ")</f>
        <v>CJ</v>
      </c>
      <c r="H170" s="5">
        <f>IFERROR(__xludf.DUMMYFUNCTION("""COMPUTED_VALUE"""),6.0)</f>
        <v>6</v>
      </c>
      <c r="I170" s="5">
        <f>IFERROR(__xludf.DUMMYFUNCTION("""COMPUTED_VALUE"""),2011.0)</f>
        <v>2011</v>
      </c>
      <c r="J170" s="5" t="str">
        <f>IFERROR(__xludf.DUMMYFUNCTION("""COMPUTED_VALUE"""),"No")</f>
        <v>No</v>
      </c>
      <c r="K170" s="5"/>
      <c r="L170" s="5"/>
      <c r="M170" s="5"/>
      <c r="N170" s="5"/>
      <c r="O170" s="5"/>
      <c r="P170" s="23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5" t="str">
        <f>IFERROR(__xludf.DUMMYFUNCTION("""COMPUTED_VALUE"""),"RILB")</f>
        <v>RILB</v>
      </c>
      <c r="B171" s="5" t="str">
        <f>IFERROR(__xludf.DUMMYFUNCTION("""COMPUTED_VALUE"""),"Byrd")</f>
        <v>Byrd</v>
      </c>
      <c r="C171" s="5" t="str">
        <f>IFERROR(__xludf.DUMMYFUNCTION("""COMPUTED_VALUE"""),"Dennis")</f>
        <v>Dennis</v>
      </c>
      <c r="D171" s="5">
        <f>IFERROR(__xludf.DUMMYFUNCTION("""COMPUTED_VALUE"""),82.0)</f>
        <v>82</v>
      </c>
      <c r="E171" s="5">
        <f>IFERROR(__xludf.DUMMYFUNCTION("""COMPUTED_VALUE"""),0.0)</f>
        <v>0</v>
      </c>
      <c r="F171" s="5" t="str">
        <f>IFERROR(__xludf.DUMMYFUNCTION("""COMPUTED_VALUE"""),"JET")</f>
        <v>JET</v>
      </c>
      <c r="G171" s="5" t="str">
        <f>IFERROR(__xludf.DUMMYFUNCTION("""COMPUTED_VALUE"""),"PJ")</f>
        <v>PJ</v>
      </c>
      <c r="H171" s="5">
        <f>IFERROR(__xludf.DUMMYFUNCTION("""COMPUTED_VALUE"""),12.0)</f>
        <v>12</v>
      </c>
      <c r="I171" s="5">
        <f>IFERROR(__xludf.DUMMYFUNCTION("""COMPUTED_VALUE"""),2020.0)</f>
        <v>2020</v>
      </c>
      <c r="J171" s="5" t="str">
        <f>IFERROR(__xludf.DUMMYFUNCTION("""COMPUTED_VALUE"""),"No")</f>
        <v>No</v>
      </c>
      <c r="K171" s="5"/>
      <c r="L171" s="5"/>
      <c r="M171" s="5"/>
      <c r="N171" s="5"/>
      <c r="O171" s="5"/>
      <c r="P171" s="23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5" t="str">
        <f>IFERROR(__xludf.DUMMYFUNCTION("""COMPUTED_VALUE"""),"LB")</f>
        <v>LB</v>
      </c>
      <c r="B172" s="5" t="str">
        <f>IFERROR(__xludf.DUMMYFUNCTION("""COMPUTED_VALUE"""),"Taylor")</f>
        <v>Taylor</v>
      </c>
      <c r="C172" s="5" t="str">
        <f>IFERROR(__xludf.DUMMYFUNCTION("""COMPUTED_VALUE"""),"Lawrence")</f>
        <v>Lawrence</v>
      </c>
      <c r="D172" s="5">
        <f>IFERROR(__xludf.DUMMYFUNCTION("""COMPUTED_VALUE"""),73.0)</f>
        <v>73</v>
      </c>
      <c r="E172" s="5">
        <f>IFERROR(__xludf.DUMMYFUNCTION("""COMPUTED_VALUE"""),1.0)</f>
        <v>1</v>
      </c>
      <c r="F172" s="5" t="str">
        <f>IFERROR(__xludf.DUMMYFUNCTION("""COMPUTED_VALUE"""),"GIA")</f>
        <v>GIA</v>
      </c>
      <c r="G172" s="5" t="str">
        <f>IFERROR(__xludf.DUMMYFUNCTION("""COMPUTED_VALUE"""),"PJ")</f>
        <v>PJ</v>
      </c>
      <c r="H172" s="5">
        <f>IFERROR(__xludf.DUMMYFUNCTION("""COMPUTED_VALUE"""),5.0)</f>
        <v>5</v>
      </c>
      <c r="I172" s="5">
        <f>IFERROR(__xludf.DUMMYFUNCTION("""COMPUTED_VALUE"""),2010.0)</f>
        <v>2010</v>
      </c>
      <c r="J172" s="5" t="str">
        <f>IFERROR(__xludf.DUMMYFUNCTION("""COMPUTED_VALUE"""),"No")</f>
        <v>No</v>
      </c>
      <c r="K172" s="5"/>
      <c r="L172" s="5"/>
      <c r="M172" s="5"/>
      <c r="N172" s="5"/>
      <c r="O172" s="5"/>
      <c r="P172" s="23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23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9" t="s">
        <v>420</v>
      </c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18" t="str">
        <f>IFERROR(__xludf.DUMMYFUNCTION("query(Defense!A2:J235, ""select * where J = 'No' and G &lt;&gt; 'COMP' order by E desc limit 3"",1)"),"POS")</f>
        <v>POS</v>
      </c>
      <c r="B175" s="18" t="str">
        <f>IFERROR(__xludf.DUMMYFUNCTION("""COMPUTED_VALUE"""),"Last Name")</f>
        <v>Last Name</v>
      </c>
      <c r="C175" s="18" t="str">
        <f>IFERROR(__xludf.DUMMYFUNCTION("""COMPUTED_VALUE"""),"First Name")</f>
        <v>First Name</v>
      </c>
      <c r="D175" s="18" t="str">
        <f>IFERROR(__xludf.DUMMYFUNCTION("""COMPUTED_VALUE"""),"SACKS")</f>
        <v>SACKS</v>
      </c>
      <c r="E175" s="18" t="str">
        <f>IFERROR(__xludf.DUMMYFUNCTION("""COMPUTED_VALUE"""),"INT")</f>
        <v>INT</v>
      </c>
      <c r="F175" s="18" t="str">
        <f>IFERROR(__xludf.DUMMYFUNCTION("""COMPUTED_VALUE"""),"Team")</f>
        <v>Team</v>
      </c>
      <c r="G175" s="18" t="str">
        <f>IFERROR(__xludf.DUMMYFUNCTION("""COMPUTED_VALUE"""),"User")</f>
        <v>User</v>
      </c>
      <c r="H175" s="18" t="str">
        <f>IFERROR(__xludf.DUMMYFUNCTION("""COMPUTED_VALUE"""),"Season")</f>
        <v>Season</v>
      </c>
      <c r="I175" s="18" t="str">
        <f>IFERROR(__xludf.DUMMYFUNCTION("""COMPUTED_VALUE"""),"Year")</f>
        <v>Year</v>
      </c>
      <c r="J175" s="18" t="str">
        <f>IFERROR(__xludf.DUMMYFUNCTION("""COMPUTED_VALUE"""),"Solo")</f>
        <v>Solo</v>
      </c>
      <c r="K175" s="18"/>
      <c r="L175" s="18"/>
      <c r="M175" s="18"/>
      <c r="N175" s="18"/>
      <c r="O175" s="18"/>
      <c r="P175" s="19"/>
      <c r="Q175" s="18"/>
      <c r="R175" s="18"/>
      <c r="S175" s="18"/>
      <c r="T175" s="18"/>
      <c r="U175" s="18"/>
      <c r="V175" s="18"/>
      <c r="W175" s="18"/>
      <c r="X175" s="18"/>
      <c r="Y175" s="18"/>
      <c r="Z175" s="18"/>
    </row>
    <row r="176">
      <c r="A176" s="5" t="str">
        <f>IFERROR(__xludf.DUMMYFUNCTION("""COMPUTED_VALUE"""),"CB")</f>
        <v>CB</v>
      </c>
      <c r="B176" s="5" t="str">
        <f>IFERROR(__xludf.DUMMYFUNCTION("""COMPUTED_VALUE"""),"Mayhew")</f>
        <v>Mayhew</v>
      </c>
      <c r="C176" s="5" t="str">
        <f>IFERROR(__xludf.DUMMYFUNCTION("""COMPUTED_VALUE"""),"Martin")</f>
        <v>Martin</v>
      </c>
      <c r="D176" s="5">
        <f>IFERROR(__xludf.DUMMYFUNCTION("""COMPUTED_VALUE"""),0.0)</f>
        <v>0</v>
      </c>
      <c r="E176" s="5">
        <f>IFERROR(__xludf.DUMMYFUNCTION("""COMPUTED_VALUE"""),10.0)</f>
        <v>10</v>
      </c>
      <c r="F176" s="5" t="str">
        <f>IFERROR(__xludf.DUMMYFUNCTION("""COMPUTED_VALUE"""),"WAS")</f>
        <v>WAS</v>
      </c>
      <c r="G176" s="5" t="str">
        <f>IFERROR(__xludf.DUMMYFUNCTION("""COMPUTED_VALUE"""),"WB")</f>
        <v>WB</v>
      </c>
      <c r="H176" s="5">
        <f>IFERROR(__xludf.DUMMYFUNCTION("""COMPUTED_VALUE"""),8.0)</f>
        <v>8</v>
      </c>
      <c r="I176" s="5">
        <f>IFERROR(__xludf.DUMMYFUNCTION("""COMPUTED_VALUE"""),2017.0)</f>
        <v>2017</v>
      </c>
      <c r="J176" s="5" t="str">
        <f>IFERROR(__xludf.DUMMYFUNCTION("""COMPUTED_VALUE"""),"No")</f>
        <v>No</v>
      </c>
      <c r="K176" s="5"/>
      <c r="L176" s="5"/>
      <c r="M176" s="5"/>
      <c r="N176" s="5"/>
      <c r="O176" s="5"/>
      <c r="P176" s="23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5" t="str">
        <f>IFERROR(__xludf.DUMMYFUNCTION("""COMPUTED_VALUE"""),"SS")</f>
        <v>SS</v>
      </c>
      <c r="B177" s="5" t="str">
        <f>IFERROR(__xludf.DUMMYFUNCTION("""COMPUTED_VALUE"""),"Fulcher")</f>
        <v>Fulcher</v>
      </c>
      <c r="C177" s="5" t="str">
        <f>IFERROR(__xludf.DUMMYFUNCTION("""COMPUTED_VALUE"""),"David")</f>
        <v>David</v>
      </c>
      <c r="D177" s="5">
        <f>IFERROR(__xludf.DUMMYFUNCTION("""COMPUTED_VALUE"""),4.0)</f>
        <v>4</v>
      </c>
      <c r="E177" s="5">
        <f>IFERROR(__xludf.DUMMYFUNCTION("""COMPUTED_VALUE"""),10.0)</f>
        <v>10</v>
      </c>
      <c r="F177" s="5" t="str">
        <f>IFERROR(__xludf.DUMMYFUNCTION("""COMPUTED_VALUE"""),"CIN")</f>
        <v>CIN</v>
      </c>
      <c r="G177" s="5" t="str">
        <f>IFERROR(__xludf.DUMMYFUNCTION("""COMPUTED_VALUE"""),"PJ")</f>
        <v>PJ</v>
      </c>
      <c r="H177" s="5">
        <f>IFERROR(__xludf.DUMMYFUNCTION("""COMPUTED_VALUE"""),11.0)</f>
        <v>11</v>
      </c>
      <c r="I177" s="5">
        <f>IFERROR(__xludf.DUMMYFUNCTION("""COMPUTED_VALUE"""),2019.0)</f>
        <v>2019</v>
      </c>
      <c r="J177" s="5" t="str">
        <f>IFERROR(__xludf.DUMMYFUNCTION("""COMPUTED_VALUE"""),"No")</f>
        <v>No</v>
      </c>
      <c r="K177" s="5"/>
      <c r="L177" s="5"/>
      <c r="M177" s="5"/>
      <c r="N177" s="5"/>
      <c r="O177" s="5"/>
      <c r="P177" s="23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5" t="str">
        <f>IFERROR(__xludf.DUMMYFUNCTION("""COMPUTED_VALUE"""),"CB")</f>
        <v>CB</v>
      </c>
      <c r="B178" s="5" t="str">
        <f>IFERROR(__xludf.DUMMYFUNCTION("""COMPUTED_VALUE"""),"Johnson")</f>
        <v>Johnson</v>
      </c>
      <c r="C178" s="5" t="str">
        <f>IFERROR(__xludf.DUMMYFUNCTION("""COMPUTED_VALUE"""),"Richared")</f>
        <v>Richared</v>
      </c>
      <c r="D178" s="5">
        <f>IFERROR(__xludf.DUMMYFUNCTION("""COMPUTED_VALUE"""),4.0)</f>
        <v>4</v>
      </c>
      <c r="E178" s="5">
        <f>IFERROR(__xludf.DUMMYFUNCTION("""COMPUTED_VALUE"""),7.0)</f>
        <v>7</v>
      </c>
      <c r="F178" s="5" t="str">
        <f>IFERROR(__xludf.DUMMYFUNCTION("""COMPUTED_VALUE"""),"HOU")</f>
        <v>HOU</v>
      </c>
      <c r="G178" s="5" t="str">
        <f>IFERROR(__xludf.DUMMYFUNCTION("""COMPUTED_VALUE"""),"WB")</f>
        <v>WB</v>
      </c>
      <c r="H178" s="5">
        <f>IFERROR(__xludf.DUMMYFUNCTION("""COMPUTED_VALUE"""),10.0)</f>
        <v>10</v>
      </c>
      <c r="I178" s="5">
        <f>IFERROR(__xludf.DUMMYFUNCTION("""COMPUTED_VALUE"""),2018.0)</f>
        <v>2018</v>
      </c>
      <c r="J178" s="5" t="str">
        <f>IFERROR(__xludf.DUMMYFUNCTION("""COMPUTED_VALUE"""),"No")</f>
        <v>No</v>
      </c>
      <c r="K178" s="5"/>
      <c r="L178" s="5"/>
      <c r="M178" s="5"/>
      <c r="N178" s="5"/>
      <c r="O178" s="5"/>
      <c r="P178" s="23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23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2" t="s">
        <v>434</v>
      </c>
      <c r="U180" s="5"/>
      <c r="V180" s="5"/>
      <c r="W180" s="5"/>
      <c r="X180" s="5"/>
      <c r="Y180" s="5"/>
      <c r="Z180" s="5"/>
    </row>
    <row r="181">
      <c r="A181" s="9" t="s">
        <v>435</v>
      </c>
      <c r="U181" s="5"/>
      <c r="V181" s="5"/>
      <c r="W181" s="5"/>
      <c r="X181" s="5"/>
      <c r="Y181" s="5"/>
      <c r="Z181" s="5"/>
    </row>
    <row r="182">
      <c r="A182" s="44" t="str">
        <f>IFERROR(__xludf.DUMMYFUNCTION("query(Team!A2:U96, ""select * where U = 'No' and R &lt;&gt; 'COMP' order by I desc limit 3"",1)"),"Team")</f>
        <v>Team</v>
      </c>
      <c r="B182" s="45" t="str">
        <f>IFERROR(__xludf.DUMMYFUNCTION("""COMPUTED_VALUE"""),"W")</f>
        <v>W</v>
      </c>
      <c r="C182" s="45" t="str">
        <f>IFERROR(__xludf.DUMMYFUNCTION("""COMPUTED_VALUE"""),"L")</f>
        <v>L</v>
      </c>
      <c r="D182" s="45" t="str">
        <f>IFERROR(__xludf.DUMMYFUNCTION("""COMPUTED_VALUE"""),"T")</f>
        <v>T</v>
      </c>
      <c r="E182" s="45" t="str">
        <f>IFERROR(__xludf.DUMMYFUNCTION("""COMPUTED_VALUE"""),"FOR")</f>
        <v>FOR</v>
      </c>
      <c r="F182" s="45" t="str">
        <f>IFERROR(__xludf.DUMMYFUNCTION("""COMPUTED_VALUE"""),"AGAINST")</f>
        <v>AGAINST</v>
      </c>
      <c r="G182" s="45" t="str">
        <f>IFERROR(__xludf.DUMMYFUNCTION("""COMPUTED_VALUE"""),"DIFF")</f>
        <v>DIFF</v>
      </c>
      <c r="H182" s="45" t="str">
        <f>IFERROR(__xludf.DUMMYFUNCTION("""COMPUTED_VALUE"""),"OFF RANK")</f>
        <v>OFF RANK</v>
      </c>
      <c r="I182" s="45" t="str">
        <f>IFERROR(__xludf.DUMMYFUNCTION("""COMPUTED_VALUE"""),"TOTAL OFF")</f>
        <v>TOTAL OFF</v>
      </c>
      <c r="J182" s="45" t="str">
        <f>IFERROR(__xludf.DUMMYFUNCTION("""COMPUTED_VALUE"""),"PASS OFF")</f>
        <v>PASS OFF</v>
      </c>
      <c r="K182" s="45" t="str">
        <f>IFERROR(__xludf.DUMMYFUNCTION("""COMPUTED_VALUE"""),"RUSH OFF")</f>
        <v>RUSH OFF</v>
      </c>
      <c r="L182" s="45" t="str">
        <f>IFERROR(__xludf.DUMMYFUNCTION("""COMPUTED_VALUE"""),"DEF RANK")</f>
        <v>DEF RANK</v>
      </c>
      <c r="M182" s="45" t="str">
        <f>IFERROR(__xludf.DUMMYFUNCTION("""COMPUTED_VALUE"""),"TOTAL DEF")</f>
        <v>TOTAL DEF</v>
      </c>
      <c r="N182" s="45" t="str">
        <f>IFERROR(__xludf.DUMMYFUNCTION("""COMPUTED_VALUE"""),"PASS DEF")</f>
        <v>PASS DEF</v>
      </c>
      <c r="O182" s="45" t="str">
        <f>IFERROR(__xludf.DUMMYFUNCTION("""COMPUTED_VALUE"""),"RUSH DEF")</f>
        <v>RUSH DEF</v>
      </c>
      <c r="P182" s="46" t="str">
        <f>IFERROR(__xludf.DUMMYFUNCTION("""COMPUTED_VALUE"""),"SEASON END")</f>
        <v>SEASON END</v>
      </c>
      <c r="Q182" s="45" t="str">
        <f>IFERROR(__xludf.DUMMYFUNCTION("""COMPUTED_VALUE"""),"SUPERBOWL")</f>
        <v>SUPERBOWL</v>
      </c>
      <c r="R182" s="45" t="str">
        <f>IFERROR(__xludf.DUMMYFUNCTION("""COMPUTED_VALUE"""),"User")</f>
        <v>User</v>
      </c>
      <c r="S182" s="45" t="str">
        <f>IFERROR(__xludf.DUMMYFUNCTION("""COMPUTED_VALUE"""),"Season")</f>
        <v>Season</v>
      </c>
      <c r="T182" s="45" t="str">
        <f>IFERROR(__xludf.DUMMYFUNCTION("""COMPUTED_VALUE"""),"Year")</f>
        <v>Year</v>
      </c>
      <c r="U182" s="45" t="str">
        <f>IFERROR(__xludf.DUMMYFUNCTION("""COMPUTED_VALUE"""),"Solo")</f>
        <v>Solo</v>
      </c>
      <c r="V182" s="45"/>
      <c r="W182" s="45"/>
      <c r="X182" s="45"/>
      <c r="Y182" s="45"/>
      <c r="Z182" s="45"/>
    </row>
    <row r="183">
      <c r="A183" s="5" t="str">
        <f>IFERROR(__xludf.DUMMYFUNCTION("""COMPUTED_VALUE"""),"MIA")</f>
        <v>MIA</v>
      </c>
      <c r="B183" s="5">
        <f>IFERROR(__xludf.DUMMYFUNCTION("""COMPUTED_VALUE"""),16.0)</f>
        <v>16</v>
      </c>
      <c r="C183" s="5">
        <f>IFERROR(__xludf.DUMMYFUNCTION("""COMPUTED_VALUE"""),0.0)</f>
        <v>0</v>
      </c>
      <c r="D183" s="5">
        <f>IFERROR(__xludf.DUMMYFUNCTION("""COMPUTED_VALUE"""),0.0)</f>
        <v>0</v>
      </c>
      <c r="E183" s="5">
        <f>IFERROR(__xludf.DUMMYFUNCTION("""COMPUTED_VALUE"""),818.0)</f>
        <v>818</v>
      </c>
      <c r="F183" s="5">
        <f>IFERROR(__xludf.DUMMYFUNCTION("""COMPUTED_VALUE"""),235.0)</f>
        <v>235</v>
      </c>
      <c r="G183" s="5">
        <f>IFERROR(__xludf.DUMMYFUNCTION("""COMPUTED_VALUE"""),583.0)</f>
        <v>583</v>
      </c>
      <c r="H183" s="5">
        <f>IFERROR(__xludf.DUMMYFUNCTION("""COMPUTED_VALUE"""),1.0)</f>
        <v>1</v>
      </c>
      <c r="I183" s="5">
        <f>IFERROR(__xludf.DUMMYFUNCTION("""COMPUTED_VALUE"""),6846.0)</f>
        <v>6846</v>
      </c>
      <c r="J183" s="5">
        <f>IFERROR(__xludf.DUMMYFUNCTION("""COMPUTED_VALUE"""),6743.0)</f>
        <v>6743</v>
      </c>
      <c r="K183" s="5">
        <f>IFERROR(__xludf.DUMMYFUNCTION("""COMPUTED_VALUE"""),103.0)</f>
        <v>103</v>
      </c>
      <c r="L183" s="5">
        <f>IFERROR(__xludf.DUMMYFUNCTION("""COMPUTED_VALUE"""),3.0)</f>
        <v>3</v>
      </c>
      <c r="M183" s="5">
        <f>IFERROR(__xludf.DUMMYFUNCTION("""COMPUTED_VALUE"""),3580.0)</f>
        <v>3580</v>
      </c>
      <c r="N183" s="5">
        <f>IFERROR(__xludf.DUMMYFUNCTION("""COMPUTED_VALUE"""),1694.0)</f>
        <v>1694</v>
      </c>
      <c r="O183" s="5">
        <f>IFERROR(__xludf.DUMMYFUNCTION("""COMPUTED_VALUE"""),1886.0)</f>
        <v>1886</v>
      </c>
      <c r="P183" s="23"/>
      <c r="Q183" s="5">
        <f>IFERROR(__xludf.DUMMYFUNCTION("""COMPUTED_VALUE"""),0.0)</f>
        <v>0</v>
      </c>
      <c r="R183" s="5" t="str">
        <f>IFERROR(__xludf.DUMMYFUNCTION("""COMPUTED_VALUE"""),"CJ")</f>
        <v>CJ</v>
      </c>
      <c r="S183" s="5">
        <f>IFERROR(__xludf.DUMMYFUNCTION("""COMPUTED_VALUE"""),13.0)</f>
        <v>13</v>
      </c>
      <c r="T183" s="5">
        <f>IFERROR(__xludf.DUMMYFUNCTION("""COMPUTED_VALUE"""),2021.0)</f>
        <v>2021</v>
      </c>
      <c r="U183" s="5" t="str">
        <f>IFERROR(__xludf.DUMMYFUNCTION("""COMPUTED_VALUE"""),"No")</f>
        <v>No</v>
      </c>
      <c r="V183" s="5"/>
      <c r="W183" s="5"/>
      <c r="X183" s="5"/>
      <c r="Y183" s="5"/>
      <c r="Z183" s="5"/>
    </row>
    <row r="184">
      <c r="A184" s="5" t="str">
        <f>IFERROR(__xludf.DUMMYFUNCTION("""COMPUTED_VALUE"""),"HOU")</f>
        <v>HOU</v>
      </c>
      <c r="B184" s="5">
        <f>IFERROR(__xludf.DUMMYFUNCTION("""COMPUTED_VALUE"""),15.0)</f>
        <v>15</v>
      </c>
      <c r="C184" s="5">
        <f>IFERROR(__xludf.DUMMYFUNCTION("""COMPUTED_VALUE"""),1.0)</f>
        <v>1</v>
      </c>
      <c r="D184" s="5">
        <f>IFERROR(__xludf.DUMMYFUNCTION("""COMPUTED_VALUE"""),0.0)</f>
        <v>0</v>
      </c>
      <c r="E184" s="5">
        <f>IFERROR(__xludf.DUMMYFUNCTION("""COMPUTED_VALUE"""),699.0)</f>
        <v>699</v>
      </c>
      <c r="F184" s="5">
        <f>IFERROR(__xludf.DUMMYFUNCTION("""COMPUTED_VALUE"""),329.0)</f>
        <v>329</v>
      </c>
      <c r="G184" s="5">
        <f>IFERROR(__xludf.DUMMYFUNCTION("""COMPUTED_VALUE"""),370.0)</f>
        <v>370</v>
      </c>
      <c r="H184" s="5">
        <f>IFERROR(__xludf.DUMMYFUNCTION("""COMPUTED_VALUE"""),1.0)</f>
        <v>1</v>
      </c>
      <c r="I184" s="5">
        <f>IFERROR(__xludf.DUMMYFUNCTION("""COMPUTED_VALUE"""),6462.0)</f>
        <v>6462</v>
      </c>
      <c r="J184" s="5">
        <f>IFERROR(__xludf.DUMMYFUNCTION("""COMPUTED_VALUE"""),6365.0)</f>
        <v>6365</v>
      </c>
      <c r="K184" s="5">
        <f>IFERROR(__xludf.DUMMYFUNCTION("""COMPUTED_VALUE"""),97.0)</f>
        <v>97</v>
      </c>
      <c r="L184" s="5">
        <f>IFERROR(__xludf.DUMMYFUNCTION("""COMPUTED_VALUE"""),7.0)</f>
        <v>7</v>
      </c>
      <c r="M184" s="5">
        <f>IFERROR(__xludf.DUMMYFUNCTION("""COMPUTED_VALUE"""),4140.0)</f>
        <v>4140</v>
      </c>
      <c r="N184" s="5">
        <f>IFERROR(__xludf.DUMMYFUNCTION("""COMPUTED_VALUE"""),1393.0)</f>
        <v>1393</v>
      </c>
      <c r="O184" s="5">
        <f>IFERROR(__xludf.DUMMYFUNCTION("""COMPUTED_VALUE"""),2747.0)</f>
        <v>2747</v>
      </c>
      <c r="P184" s="23"/>
      <c r="Q184" s="5">
        <f>IFERROR(__xludf.DUMMYFUNCTION("""COMPUTED_VALUE"""),0.0)</f>
        <v>0</v>
      </c>
      <c r="R184" s="5" t="str">
        <f>IFERROR(__xludf.DUMMYFUNCTION("""COMPUTED_VALUE"""),"WB")</f>
        <v>WB</v>
      </c>
      <c r="S184" s="5">
        <f>IFERROR(__xludf.DUMMYFUNCTION("""COMPUTED_VALUE"""),6.0)</f>
        <v>6</v>
      </c>
      <c r="T184" s="5">
        <f>IFERROR(__xludf.DUMMYFUNCTION("""COMPUTED_VALUE"""),2011.0)</f>
        <v>2011</v>
      </c>
      <c r="U184" s="5" t="str">
        <f>IFERROR(__xludf.DUMMYFUNCTION("""COMPUTED_VALUE"""),"No")</f>
        <v>No</v>
      </c>
      <c r="V184" s="5"/>
      <c r="W184" s="5"/>
      <c r="X184" s="5"/>
      <c r="Y184" s="5"/>
      <c r="Z184" s="5"/>
    </row>
    <row r="185">
      <c r="A185" s="5" t="str">
        <f>IFERROR(__xludf.DUMMYFUNCTION("""COMPUTED_VALUE"""),"HOU")</f>
        <v>HOU</v>
      </c>
      <c r="B185" s="5">
        <f>IFERROR(__xludf.DUMMYFUNCTION("""COMPUTED_VALUE"""),14.0)</f>
        <v>14</v>
      </c>
      <c r="C185" s="5">
        <f>IFERROR(__xludf.DUMMYFUNCTION("""COMPUTED_VALUE"""),2.0)</f>
        <v>2</v>
      </c>
      <c r="D185" s="5">
        <f>IFERROR(__xludf.DUMMYFUNCTION("""COMPUTED_VALUE"""),0.0)</f>
        <v>0</v>
      </c>
      <c r="E185" s="5">
        <f>IFERROR(__xludf.DUMMYFUNCTION("""COMPUTED_VALUE"""),586.0)</f>
        <v>586</v>
      </c>
      <c r="F185" s="5">
        <f>IFERROR(__xludf.DUMMYFUNCTION("""COMPUTED_VALUE"""),343.0)</f>
        <v>343</v>
      </c>
      <c r="G185" s="5">
        <f>IFERROR(__xludf.DUMMYFUNCTION("""COMPUTED_VALUE"""),243.0)</f>
        <v>243</v>
      </c>
      <c r="H185" s="5">
        <f>IFERROR(__xludf.DUMMYFUNCTION("""COMPUTED_VALUE"""),1.0)</f>
        <v>1</v>
      </c>
      <c r="I185" s="5">
        <f>IFERROR(__xludf.DUMMYFUNCTION("""COMPUTED_VALUE"""),5965.0)</f>
        <v>5965</v>
      </c>
      <c r="J185" s="5">
        <f>IFERROR(__xludf.DUMMYFUNCTION("""COMPUTED_VALUE"""),5859.0)</f>
        <v>5859</v>
      </c>
      <c r="K185" s="5">
        <f>IFERROR(__xludf.DUMMYFUNCTION("""COMPUTED_VALUE"""),106.0)</f>
        <v>106</v>
      </c>
      <c r="L185" s="5">
        <f>IFERROR(__xludf.DUMMYFUNCTION("""COMPUTED_VALUE"""),5.0)</f>
        <v>5</v>
      </c>
      <c r="M185" s="5">
        <f>IFERROR(__xludf.DUMMYFUNCTION("""COMPUTED_VALUE"""),3992.0)</f>
        <v>3992</v>
      </c>
      <c r="N185" s="5">
        <f>IFERROR(__xludf.DUMMYFUNCTION("""COMPUTED_VALUE"""),2494.0)</f>
        <v>2494</v>
      </c>
      <c r="O185" s="5">
        <f>IFERROR(__xludf.DUMMYFUNCTION("""COMPUTED_VALUE"""),1498.0)</f>
        <v>1498</v>
      </c>
      <c r="P185" s="23"/>
      <c r="Q185" s="5">
        <f>IFERROR(__xludf.DUMMYFUNCTION("""COMPUTED_VALUE"""),0.0)</f>
        <v>0</v>
      </c>
      <c r="R185" s="5" t="str">
        <f>IFERROR(__xludf.DUMMYFUNCTION("""COMPUTED_VALUE"""),"WB")</f>
        <v>WB</v>
      </c>
      <c r="S185" s="5">
        <f>IFERROR(__xludf.DUMMYFUNCTION("""COMPUTED_VALUE"""),10.0)</f>
        <v>10</v>
      </c>
      <c r="T185" s="5">
        <f>IFERROR(__xludf.DUMMYFUNCTION("""COMPUTED_VALUE"""),2018.0)</f>
        <v>2018</v>
      </c>
      <c r="U185" s="5" t="str">
        <f>IFERROR(__xludf.DUMMYFUNCTION("""COMPUTED_VALUE"""),"No")</f>
        <v>No</v>
      </c>
      <c r="V185" s="5"/>
      <c r="W185" s="5"/>
      <c r="X185" s="5"/>
      <c r="Y185" s="5"/>
      <c r="Z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23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9" t="s">
        <v>459</v>
      </c>
      <c r="U187" s="5"/>
      <c r="V187" s="5"/>
      <c r="W187" s="5"/>
      <c r="X187" s="5"/>
      <c r="Y187" s="5"/>
      <c r="Z187" s="5"/>
    </row>
    <row r="188">
      <c r="A188" s="5" t="str">
        <f>IFERROR(__xludf.DUMMYFUNCTION("query(Team!A2:U96, ""select * where U = 'No' and R &lt;&gt; 'COMP' order by J desc limit 3"",1)"),"Team")</f>
        <v>Team</v>
      </c>
      <c r="B188" s="5" t="str">
        <f>IFERROR(__xludf.DUMMYFUNCTION("""COMPUTED_VALUE"""),"W")</f>
        <v>W</v>
      </c>
      <c r="C188" s="5" t="str">
        <f>IFERROR(__xludf.DUMMYFUNCTION("""COMPUTED_VALUE"""),"L")</f>
        <v>L</v>
      </c>
      <c r="D188" s="5" t="str">
        <f>IFERROR(__xludf.DUMMYFUNCTION("""COMPUTED_VALUE"""),"T")</f>
        <v>T</v>
      </c>
      <c r="E188" s="5" t="str">
        <f>IFERROR(__xludf.DUMMYFUNCTION("""COMPUTED_VALUE"""),"FOR")</f>
        <v>FOR</v>
      </c>
      <c r="F188" s="5" t="str">
        <f>IFERROR(__xludf.DUMMYFUNCTION("""COMPUTED_VALUE"""),"AGAINST")</f>
        <v>AGAINST</v>
      </c>
      <c r="G188" s="5" t="str">
        <f>IFERROR(__xludf.DUMMYFUNCTION("""COMPUTED_VALUE"""),"DIFF")</f>
        <v>DIFF</v>
      </c>
      <c r="H188" s="5" t="str">
        <f>IFERROR(__xludf.DUMMYFUNCTION("""COMPUTED_VALUE"""),"OFF RANK")</f>
        <v>OFF RANK</v>
      </c>
      <c r="I188" s="5" t="str">
        <f>IFERROR(__xludf.DUMMYFUNCTION("""COMPUTED_VALUE"""),"TOTAL OFF")</f>
        <v>TOTAL OFF</v>
      </c>
      <c r="J188" s="5" t="str">
        <f>IFERROR(__xludf.DUMMYFUNCTION("""COMPUTED_VALUE"""),"PASS OFF")</f>
        <v>PASS OFF</v>
      </c>
      <c r="K188" s="5" t="str">
        <f>IFERROR(__xludf.DUMMYFUNCTION("""COMPUTED_VALUE"""),"RUSH OFF")</f>
        <v>RUSH OFF</v>
      </c>
      <c r="L188" s="5" t="str">
        <f>IFERROR(__xludf.DUMMYFUNCTION("""COMPUTED_VALUE"""),"DEF RANK")</f>
        <v>DEF RANK</v>
      </c>
      <c r="M188" s="5" t="str">
        <f>IFERROR(__xludf.DUMMYFUNCTION("""COMPUTED_VALUE"""),"TOTAL DEF")</f>
        <v>TOTAL DEF</v>
      </c>
      <c r="N188" s="5" t="str">
        <f>IFERROR(__xludf.DUMMYFUNCTION("""COMPUTED_VALUE"""),"PASS DEF")</f>
        <v>PASS DEF</v>
      </c>
      <c r="O188" s="5" t="str">
        <f>IFERROR(__xludf.DUMMYFUNCTION("""COMPUTED_VALUE"""),"RUSH DEF")</f>
        <v>RUSH DEF</v>
      </c>
      <c r="P188" s="23" t="str">
        <f>IFERROR(__xludf.DUMMYFUNCTION("""COMPUTED_VALUE"""),"SEASON END")</f>
        <v>SEASON END</v>
      </c>
      <c r="Q188" s="5" t="str">
        <f>IFERROR(__xludf.DUMMYFUNCTION("""COMPUTED_VALUE"""),"SUPERBOWL")</f>
        <v>SUPERBOWL</v>
      </c>
      <c r="R188" s="5" t="str">
        <f>IFERROR(__xludf.DUMMYFUNCTION("""COMPUTED_VALUE"""),"User")</f>
        <v>User</v>
      </c>
      <c r="S188" s="5" t="str">
        <f>IFERROR(__xludf.DUMMYFUNCTION("""COMPUTED_VALUE"""),"Season")</f>
        <v>Season</v>
      </c>
      <c r="T188" s="5" t="str">
        <f>IFERROR(__xludf.DUMMYFUNCTION("""COMPUTED_VALUE"""),"Year")</f>
        <v>Year</v>
      </c>
      <c r="U188" s="5" t="str">
        <f>IFERROR(__xludf.DUMMYFUNCTION("""COMPUTED_VALUE"""),"Solo")</f>
        <v>Solo</v>
      </c>
      <c r="V188" s="5"/>
      <c r="W188" s="5"/>
      <c r="X188" s="5"/>
      <c r="Y188" s="5"/>
      <c r="Z188" s="5"/>
    </row>
    <row r="189">
      <c r="A189" s="5" t="str">
        <f>IFERROR(__xludf.DUMMYFUNCTION("""COMPUTED_VALUE"""),"MIA")</f>
        <v>MIA</v>
      </c>
      <c r="B189" s="5">
        <f>IFERROR(__xludf.DUMMYFUNCTION("""COMPUTED_VALUE"""),16.0)</f>
        <v>16</v>
      </c>
      <c r="C189" s="5">
        <f>IFERROR(__xludf.DUMMYFUNCTION("""COMPUTED_VALUE"""),0.0)</f>
        <v>0</v>
      </c>
      <c r="D189" s="5">
        <f>IFERROR(__xludf.DUMMYFUNCTION("""COMPUTED_VALUE"""),0.0)</f>
        <v>0</v>
      </c>
      <c r="E189" s="5">
        <f>IFERROR(__xludf.DUMMYFUNCTION("""COMPUTED_VALUE"""),818.0)</f>
        <v>818</v>
      </c>
      <c r="F189" s="5">
        <f>IFERROR(__xludf.DUMMYFUNCTION("""COMPUTED_VALUE"""),235.0)</f>
        <v>235</v>
      </c>
      <c r="G189" s="5">
        <f>IFERROR(__xludf.DUMMYFUNCTION("""COMPUTED_VALUE"""),583.0)</f>
        <v>583</v>
      </c>
      <c r="H189" s="5">
        <f>IFERROR(__xludf.DUMMYFUNCTION("""COMPUTED_VALUE"""),1.0)</f>
        <v>1</v>
      </c>
      <c r="I189" s="5">
        <f>IFERROR(__xludf.DUMMYFUNCTION("""COMPUTED_VALUE"""),6846.0)</f>
        <v>6846</v>
      </c>
      <c r="J189" s="5">
        <f>IFERROR(__xludf.DUMMYFUNCTION("""COMPUTED_VALUE"""),6743.0)</f>
        <v>6743</v>
      </c>
      <c r="K189" s="5">
        <f>IFERROR(__xludf.DUMMYFUNCTION("""COMPUTED_VALUE"""),103.0)</f>
        <v>103</v>
      </c>
      <c r="L189" s="5">
        <f>IFERROR(__xludf.DUMMYFUNCTION("""COMPUTED_VALUE"""),3.0)</f>
        <v>3</v>
      </c>
      <c r="M189" s="5">
        <f>IFERROR(__xludf.DUMMYFUNCTION("""COMPUTED_VALUE"""),3580.0)</f>
        <v>3580</v>
      </c>
      <c r="N189" s="5">
        <f>IFERROR(__xludf.DUMMYFUNCTION("""COMPUTED_VALUE"""),1694.0)</f>
        <v>1694</v>
      </c>
      <c r="O189" s="5">
        <f>IFERROR(__xludf.DUMMYFUNCTION("""COMPUTED_VALUE"""),1886.0)</f>
        <v>1886</v>
      </c>
      <c r="P189" s="23"/>
      <c r="Q189" s="5">
        <f>IFERROR(__xludf.DUMMYFUNCTION("""COMPUTED_VALUE"""),0.0)</f>
        <v>0</v>
      </c>
      <c r="R189" s="5" t="str">
        <f>IFERROR(__xludf.DUMMYFUNCTION("""COMPUTED_VALUE"""),"CJ")</f>
        <v>CJ</v>
      </c>
      <c r="S189" s="5">
        <f>IFERROR(__xludf.DUMMYFUNCTION("""COMPUTED_VALUE"""),13.0)</f>
        <v>13</v>
      </c>
      <c r="T189" s="5">
        <f>IFERROR(__xludf.DUMMYFUNCTION("""COMPUTED_VALUE"""),2021.0)</f>
        <v>2021</v>
      </c>
      <c r="U189" s="5" t="str">
        <f>IFERROR(__xludf.DUMMYFUNCTION("""COMPUTED_VALUE"""),"No")</f>
        <v>No</v>
      </c>
      <c r="V189" s="5"/>
      <c r="W189" s="5"/>
      <c r="X189" s="5"/>
      <c r="Y189" s="5"/>
      <c r="Z189" s="5"/>
    </row>
    <row r="190">
      <c r="A190" s="5" t="str">
        <f>IFERROR(__xludf.DUMMYFUNCTION("""COMPUTED_VALUE"""),"HOU")</f>
        <v>HOU</v>
      </c>
      <c r="B190" s="5">
        <f>IFERROR(__xludf.DUMMYFUNCTION("""COMPUTED_VALUE"""),15.0)</f>
        <v>15</v>
      </c>
      <c r="C190" s="5">
        <f>IFERROR(__xludf.DUMMYFUNCTION("""COMPUTED_VALUE"""),1.0)</f>
        <v>1</v>
      </c>
      <c r="D190" s="5">
        <f>IFERROR(__xludf.DUMMYFUNCTION("""COMPUTED_VALUE"""),0.0)</f>
        <v>0</v>
      </c>
      <c r="E190" s="5">
        <f>IFERROR(__xludf.DUMMYFUNCTION("""COMPUTED_VALUE"""),699.0)</f>
        <v>699</v>
      </c>
      <c r="F190" s="5">
        <f>IFERROR(__xludf.DUMMYFUNCTION("""COMPUTED_VALUE"""),329.0)</f>
        <v>329</v>
      </c>
      <c r="G190" s="5">
        <f>IFERROR(__xludf.DUMMYFUNCTION("""COMPUTED_VALUE"""),370.0)</f>
        <v>370</v>
      </c>
      <c r="H190" s="5">
        <f>IFERROR(__xludf.DUMMYFUNCTION("""COMPUTED_VALUE"""),1.0)</f>
        <v>1</v>
      </c>
      <c r="I190" s="5">
        <f>IFERROR(__xludf.DUMMYFUNCTION("""COMPUTED_VALUE"""),6462.0)</f>
        <v>6462</v>
      </c>
      <c r="J190" s="5">
        <f>IFERROR(__xludf.DUMMYFUNCTION("""COMPUTED_VALUE"""),6365.0)</f>
        <v>6365</v>
      </c>
      <c r="K190" s="5">
        <f>IFERROR(__xludf.DUMMYFUNCTION("""COMPUTED_VALUE"""),97.0)</f>
        <v>97</v>
      </c>
      <c r="L190" s="5">
        <f>IFERROR(__xludf.DUMMYFUNCTION("""COMPUTED_VALUE"""),7.0)</f>
        <v>7</v>
      </c>
      <c r="M190" s="5">
        <f>IFERROR(__xludf.DUMMYFUNCTION("""COMPUTED_VALUE"""),4140.0)</f>
        <v>4140</v>
      </c>
      <c r="N190" s="5">
        <f>IFERROR(__xludf.DUMMYFUNCTION("""COMPUTED_VALUE"""),1393.0)</f>
        <v>1393</v>
      </c>
      <c r="O190" s="5">
        <f>IFERROR(__xludf.DUMMYFUNCTION("""COMPUTED_VALUE"""),2747.0)</f>
        <v>2747</v>
      </c>
      <c r="P190" s="23"/>
      <c r="Q190" s="5">
        <f>IFERROR(__xludf.DUMMYFUNCTION("""COMPUTED_VALUE"""),0.0)</f>
        <v>0</v>
      </c>
      <c r="R190" s="5" t="str">
        <f>IFERROR(__xludf.DUMMYFUNCTION("""COMPUTED_VALUE"""),"WB")</f>
        <v>WB</v>
      </c>
      <c r="S190" s="5">
        <f>IFERROR(__xludf.DUMMYFUNCTION("""COMPUTED_VALUE"""),6.0)</f>
        <v>6</v>
      </c>
      <c r="T190" s="5">
        <f>IFERROR(__xludf.DUMMYFUNCTION("""COMPUTED_VALUE"""),2011.0)</f>
        <v>2011</v>
      </c>
      <c r="U190" s="5" t="str">
        <f>IFERROR(__xludf.DUMMYFUNCTION("""COMPUTED_VALUE"""),"No")</f>
        <v>No</v>
      </c>
      <c r="V190" s="5"/>
      <c r="W190" s="5"/>
      <c r="X190" s="5"/>
      <c r="Y190" s="5"/>
      <c r="Z190" s="5"/>
    </row>
    <row r="191">
      <c r="A191" s="5" t="str">
        <f>IFERROR(__xludf.DUMMYFUNCTION("""COMPUTED_VALUE"""),"HOU")</f>
        <v>HOU</v>
      </c>
      <c r="B191" s="5">
        <f>IFERROR(__xludf.DUMMYFUNCTION("""COMPUTED_VALUE"""),14.0)</f>
        <v>14</v>
      </c>
      <c r="C191" s="5">
        <f>IFERROR(__xludf.DUMMYFUNCTION("""COMPUTED_VALUE"""),2.0)</f>
        <v>2</v>
      </c>
      <c r="D191" s="5">
        <f>IFERROR(__xludf.DUMMYFUNCTION("""COMPUTED_VALUE"""),0.0)</f>
        <v>0</v>
      </c>
      <c r="E191" s="5">
        <f>IFERROR(__xludf.DUMMYFUNCTION("""COMPUTED_VALUE"""),586.0)</f>
        <v>586</v>
      </c>
      <c r="F191" s="5">
        <f>IFERROR(__xludf.DUMMYFUNCTION("""COMPUTED_VALUE"""),343.0)</f>
        <v>343</v>
      </c>
      <c r="G191" s="5">
        <f>IFERROR(__xludf.DUMMYFUNCTION("""COMPUTED_VALUE"""),243.0)</f>
        <v>243</v>
      </c>
      <c r="H191" s="5">
        <f>IFERROR(__xludf.DUMMYFUNCTION("""COMPUTED_VALUE"""),1.0)</f>
        <v>1</v>
      </c>
      <c r="I191" s="5">
        <f>IFERROR(__xludf.DUMMYFUNCTION("""COMPUTED_VALUE"""),5965.0)</f>
        <v>5965</v>
      </c>
      <c r="J191" s="5">
        <f>IFERROR(__xludf.DUMMYFUNCTION("""COMPUTED_VALUE"""),5859.0)</f>
        <v>5859</v>
      </c>
      <c r="K191" s="5">
        <f>IFERROR(__xludf.DUMMYFUNCTION("""COMPUTED_VALUE"""),106.0)</f>
        <v>106</v>
      </c>
      <c r="L191" s="5">
        <f>IFERROR(__xludf.DUMMYFUNCTION("""COMPUTED_VALUE"""),5.0)</f>
        <v>5</v>
      </c>
      <c r="M191" s="5">
        <f>IFERROR(__xludf.DUMMYFUNCTION("""COMPUTED_VALUE"""),3992.0)</f>
        <v>3992</v>
      </c>
      <c r="N191" s="5">
        <f>IFERROR(__xludf.DUMMYFUNCTION("""COMPUTED_VALUE"""),2494.0)</f>
        <v>2494</v>
      </c>
      <c r="O191" s="5">
        <f>IFERROR(__xludf.DUMMYFUNCTION("""COMPUTED_VALUE"""),1498.0)</f>
        <v>1498</v>
      </c>
      <c r="P191" s="23"/>
      <c r="Q191" s="5">
        <f>IFERROR(__xludf.DUMMYFUNCTION("""COMPUTED_VALUE"""),0.0)</f>
        <v>0</v>
      </c>
      <c r="R191" s="5" t="str">
        <f>IFERROR(__xludf.DUMMYFUNCTION("""COMPUTED_VALUE"""),"WB")</f>
        <v>WB</v>
      </c>
      <c r="S191" s="5">
        <f>IFERROR(__xludf.DUMMYFUNCTION("""COMPUTED_VALUE"""),10.0)</f>
        <v>10</v>
      </c>
      <c r="T191" s="5">
        <f>IFERROR(__xludf.DUMMYFUNCTION("""COMPUTED_VALUE"""),2018.0)</f>
        <v>2018</v>
      </c>
      <c r="U191" s="5" t="str">
        <f>IFERROR(__xludf.DUMMYFUNCTION("""COMPUTED_VALUE"""),"No")</f>
        <v>No</v>
      </c>
      <c r="V191" s="5"/>
      <c r="W191" s="5"/>
      <c r="X191" s="5"/>
      <c r="Y191" s="5"/>
      <c r="Z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23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9" t="s">
        <v>478</v>
      </c>
      <c r="U193" s="5"/>
      <c r="V193" s="5"/>
      <c r="W193" s="5"/>
      <c r="X193" s="5"/>
      <c r="Y193" s="5"/>
      <c r="Z193" s="5"/>
    </row>
    <row r="194">
      <c r="A194" s="5" t="str">
        <f>IFERROR(__xludf.DUMMYFUNCTION("query(Team!A2:U96, ""select * where U = 'No' and R &lt;&gt; 'COMP' order by K desc limit 3"",1)"),"Team")</f>
        <v>Team</v>
      </c>
      <c r="B194" s="5" t="str">
        <f>IFERROR(__xludf.DUMMYFUNCTION("""COMPUTED_VALUE"""),"W")</f>
        <v>W</v>
      </c>
      <c r="C194" s="5" t="str">
        <f>IFERROR(__xludf.DUMMYFUNCTION("""COMPUTED_VALUE"""),"L")</f>
        <v>L</v>
      </c>
      <c r="D194" s="5" t="str">
        <f>IFERROR(__xludf.DUMMYFUNCTION("""COMPUTED_VALUE"""),"T")</f>
        <v>T</v>
      </c>
      <c r="E194" s="5" t="str">
        <f>IFERROR(__xludf.DUMMYFUNCTION("""COMPUTED_VALUE"""),"FOR")</f>
        <v>FOR</v>
      </c>
      <c r="F194" s="5" t="str">
        <f>IFERROR(__xludf.DUMMYFUNCTION("""COMPUTED_VALUE"""),"AGAINST")</f>
        <v>AGAINST</v>
      </c>
      <c r="G194" s="5" t="str">
        <f>IFERROR(__xludf.DUMMYFUNCTION("""COMPUTED_VALUE"""),"DIFF")</f>
        <v>DIFF</v>
      </c>
      <c r="H194" s="5" t="str">
        <f>IFERROR(__xludf.DUMMYFUNCTION("""COMPUTED_VALUE"""),"OFF RANK")</f>
        <v>OFF RANK</v>
      </c>
      <c r="I194" s="5" t="str">
        <f>IFERROR(__xludf.DUMMYFUNCTION("""COMPUTED_VALUE"""),"TOTAL OFF")</f>
        <v>TOTAL OFF</v>
      </c>
      <c r="J194" s="5" t="str">
        <f>IFERROR(__xludf.DUMMYFUNCTION("""COMPUTED_VALUE"""),"PASS OFF")</f>
        <v>PASS OFF</v>
      </c>
      <c r="K194" s="5" t="str">
        <f>IFERROR(__xludf.DUMMYFUNCTION("""COMPUTED_VALUE"""),"RUSH OFF")</f>
        <v>RUSH OFF</v>
      </c>
      <c r="L194" s="5" t="str">
        <f>IFERROR(__xludf.DUMMYFUNCTION("""COMPUTED_VALUE"""),"DEF RANK")</f>
        <v>DEF RANK</v>
      </c>
      <c r="M194" s="5" t="str">
        <f>IFERROR(__xludf.DUMMYFUNCTION("""COMPUTED_VALUE"""),"TOTAL DEF")</f>
        <v>TOTAL DEF</v>
      </c>
      <c r="N194" s="5" t="str">
        <f>IFERROR(__xludf.DUMMYFUNCTION("""COMPUTED_VALUE"""),"PASS DEF")</f>
        <v>PASS DEF</v>
      </c>
      <c r="O194" s="5" t="str">
        <f>IFERROR(__xludf.DUMMYFUNCTION("""COMPUTED_VALUE"""),"RUSH DEF")</f>
        <v>RUSH DEF</v>
      </c>
      <c r="P194" s="23" t="str">
        <f>IFERROR(__xludf.DUMMYFUNCTION("""COMPUTED_VALUE"""),"SEASON END")</f>
        <v>SEASON END</v>
      </c>
      <c r="Q194" s="5" t="str">
        <f>IFERROR(__xludf.DUMMYFUNCTION("""COMPUTED_VALUE"""),"SUPERBOWL")</f>
        <v>SUPERBOWL</v>
      </c>
      <c r="R194" s="5" t="str">
        <f>IFERROR(__xludf.DUMMYFUNCTION("""COMPUTED_VALUE"""),"User")</f>
        <v>User</v>
      </c>
      <c r="S194" s="5" t="str">
        <f>IFERROR(__xludf.DUMMYFUNCTION("""COMPUTED_VALUE"""),"Season")</f>
        <v>Season</v>
      </c>
      <c r="T194" s="5" t="str">
        <f>IFERROR(__xludf.DUMMYFUNCTION("""COMPUTED_VALUE"""),"Year")</f>
        <v>Year</v>
      </c>
      <c r="U194" s="5" t="str">
        <f>IFERROR(__xludf.DUMMYFUNCTION("""COMPUTED_VALUE"""),"Solo")</f>
        <v>Solo</v>
      </c>
      <c r="V194" s="5"/>
      <c r="W194" s="5"/>
      <c r="X194" s="5"/>
      <c r="Y194" s="5"/>
      <c r="Z194" s="5"/>
    </row>
    <row r="195">
      <c r="A195" s="5" t="str">
        <f>IFERROR(__xludf.DUMMYFUNCTION("""COMPUTED_VALUE"""),"DET")</f>
        <v>DET</v>
      </c>
      <c r="B195" s="5">
        <f>IFERROR(__xludf.DUMMYFUNCTION("""COMPUTED_VALUE"""),12.0)</f>
        <v>12</v>
      </c>
      <c r="C195" s="5">
        <f>IFERROR(__xludf.DUMMYFUNCTION("""COMPUTED_VALUE"""),4.0)</f>
        <v>4</v>
      </c>
      <c r="D195" s="5">
        <f>IFERROR(__xludf.DUMMYFUNCTION("""COMPUTED_VALUE"""),0.0)</f>
        <v>0</v>
      </c>
      <c r="E195" s="5">
        <f>IFERROR(__xludf.DUMMYFUNCTION("""COMPUTED_VALUE"""),597.0)</f>
        <v>597</v>
      </c>
      <c r="F195" s="5">
        <f>IFERROR(__xludf.DUMMYFUNCTION("""COMPUTED_VALUE"""),284.0)</f>
        <v>284</v>
      </c>
      <c r="G195" s="5">
        <f>IFERROR(__xludf.DUMMYFUNCTION("""COMPUTED_VALUE"""),313.0)</f>
        <v>313</v>
      </c>
      <c r="H195" s="5">
        <f>IFERROR(__xludf.DUMMYFUNCTION("""COMPUTED_VALUE"""),1.0)</f>
        <v>1</v>
      </c>
      <c r="I195" s="5">
        <f>IFERROR(__xludf.DUMMYFUNCTION("""COMPUTED_VALUE"""),5955.0)</f>
        <v>5955</v>
      </c>
      <c r="J195" s="5">
        <f>IFERROR(__xludf.DUMMYFUNCTION("""COMPUTED_VALUE"""),892.0)</f>
        <v>892</v>
      </c>
      <c r="K195" s="5">
        <f>IFERROR(__xludf.DUMMYFUNCTION("""COMPUTED_VALUE"""),5063.0)</f>
        <v>5063</v>
      </c>
      <c r="L195" s="5">
        <f>IFERROR(__xludf.DUMMYFUNCTION("""COMPUTED_VALUE"""),1.0)</f>
        <v>1</v>
      </c>
      <c r="M195" s="5">
        <f>IFERROR(__xludf.DUMMYFUNCTION("""COMPUTED_VALUE"""),3346.0)</f>
        <v>3346</v>
      </c>
      <c r="N195" s="5">
        <f>IFERROR(__xludf.DUMMYFUNCTION("""COMPUTED_VALUE"""),1689.0)</f>
        <v>1689</v>
      </c>
      <c r="O195" s="5">
        <f>IFERROR(__xludf.DUMMYFUNCTION("""COMPUTED_VALUE"""),1657.0)</f>
        <v>1657</v>
      </c>
      <c r="P195" s="23" t="str">
        <f>IFERROR(__xludf.DUMMYFUNCTION("""COMPUTED_VALUE"""),"SB Victory Over BUF (MAE) 21-7")</f>
        <v>SB Victory Over BUF (MAE) 21-7</v>
      </c>
      <c r="Q195" s="5">
        <f>IFERROR(__xludf.DUMMYFUNCTION("""COMPUTED_VALUE"""),1.0)</f>
        <v>1</v>
      </c>
      <c r="R195" s="5" t="str">
        <f>IFERROR(__xludf.DUMMYFUNCTION("""COMPUTED_VALUE"""),"MA")</f>
        <v>MA</v>
      </c>
      <c r="S195" s="5">
        <f>IFERROR(__xludf.DUMMYFUNCTION("""COMPUTED_VALUE"""),19.0)</f>
        <v>19</v>
      </c>
      <c r="T195" s="5">
        <f>IFERROR(__xludf.DUMMYFUNCTION("""COMPUTED_VALUE"""),2025.0)</f>
        <v>2025</v>
      </c>
      <c r="U195" s="5" t="str">
        <f>IFERROR(__xludf.DUMMYFUNCTION("""COMPUTED_VALUE"""),"No")</f>
        <v>No</v>
      </c>
      <c r="V195" s="5"/>
      <c r="W195" s="5"/>
      <c r="X195" s="5"/>
      <c r="Y195" s="5"/>
      <c r="Z195" s="5"/>
    </row>
    <row r="196">
      <c r="A196" s="5" t="str">
        <f>IFERROR(__xludf.DUMMYFUNCTION("""COMPUTED_VALUE"""),"RAI")</f>
        <v>RAI</v>
      </c>
      <c r="B196" s="5">
        <f>IFERROR(__xludf.DUMMYFUNCTION("""COMPUTED_VALUE"""),16.0)</f>
        <v>16</v>
      </c>
      <c r="C196" s="5">
        <f>IFERROR(__xludf.DUMMYFUNCTION("""COMPUTED_VALUE"""),0.0)</f>
        <v>0</v>
      </c>
      <c r="D196" s="5">
        <f>IFERROR(__xludf.DUMMYFUNCTION("""COMPUTED_VALUE"""),0.0)</f>
        <v>0</v>
      </c>
      <c r="E196" s="5">
        <f>IFERROR(__xludf.DUMMYFUNCTION("""COMPUTED_VALUE"""),777.0)</f>
        <v>777</v>
      </c>
      <c r="F196" s="5">
        <f>IFERROR(__xludf.DUMMYFUNCTION("""COMPUTED_VALUE"""),122.0)</f>
        <v>122</v>
      </c>
      <c r="G196" s="5">
        <f>IFERROR(__xludf.DUMMYFUNCTION("""COMPUTED_VALUE"""),655.0)</f>
        <v>655</v>
      </c>
      <c r="H196" s="5">
        <f>IFERROR(__xludf.DUMMYFUNCTION("""COMPUTED_VALUE"""),2.0)</f>
        <v>2</v>
      </c>
      <c r="I196" s="5">
        <f>IFERROR(__xludf.DUMMYFUNCTION("""COMPUTED_VALUE"""),5808.0)</f>
        <v>5808</v>
      </c>
      <c r="J196" s="5">
        <f>IFERROR(__xludf.DUMMYFUNCTION("""COMPUTED_VALUE"""),1217.0)</f>
        <v>1217</v>
      </c>
      <c r="K196" s="5">
        <f>IFERROR(__xludf.DUMMYFUNCTION("""COMPUTED_VALUE"""),4591.0)</f>
        <v>4591</v>
      </c>
      <c r="L196" s="5">
        <f>IFERROR(__xludf.DUMMYFUNCTION("""COMPUTED_VALUE"""),1.0)</f>
        <v>1</v>
      </c>
      <c r="M196" s="5">
        <f>IFERROR(__xludf.DUMMYFUNCTION("""COMPUTED_VALUE"""),2697.0)</f>
        <v>2697</v>
      </c>
      <c r="N196" s="5">
        <f>IFERROR(__xludf.DUMMYFUNCTION("""COMPUTED_VALUE"""),1818.0)</f>
        <v>1818</v>
      </c>
      <c r="O196" s="5">
        <f>IFERROR(__xludf.DUMMYFUNCTION("""COMPUTED_VALUE"""),879.0)</f>
        <v>879</v>
      </c>
      <c r="P196" s="23"/>
      <c r="Q196" s="5">
        <f>IFERROR(__xludf.DUMMYFUNCTION("""COMPUTED_VALUE"""),1.0)</f>
        <v>1</v>
      </c>
      <c r="R196" s="5" t="str">
        <f>IFERROR(__xludf.DUMMYFUNCTION("""COMPUTED_VALUE"""),"PJ")</f>
        <v>PJ</v>
      </c>
      <c r="S196" s="5">
        <f>IFERROR(__xludf.DUMMYFUNCTION("""COMPUTED_VALUE"""),13.0)</f>
        <v>13</v>
      </c>
      <c r="T196" s="5">
        <f>IFERROR(__xludf.DUMMYFUNCTION("""COMPUTED_VALUE"""),2021.0)</f>
        <v>2021</v>
      </c>
      <c r="U196" s="5" t="str">
        <f>IFERROR(__xludf.DUMMYFUNCTION("""COMPUTED_VALUE"""),"No")</f>
        <v>No</v>
      </c>
      <c r="V196" s="5"/>
      <c r="W196" s="5"/>
      <c r="X196" s="5"/>
      <c r="Y196" s="5"/>
      <c r="Z196" s="5"/>
    </row>
    <row r="197">
      <c r="A197" s="5" t="str">
        <f>IFERROR(__xludf.DUMMYFUNCTION("""COMPUTED_VALUE"""),"CHI")</f>
        <v>CHI</v>
      </c>
      <c r="B197" s="5">
        <f>IFERROR(__xludf.DUMMYFUNCTION("""COMPUTED_VALUE"""),14.0)</f>
        <v>14</v>
      </c>
      <c r="C197" s="5">
        <f>IFERROR(__xludf.DUMMYFUNCTION("""COMPUTED_VALUE"""),2.0)</f>
        <v>2</v>
      </c>
      <c r="D197" s="5">
        <f>IFERROR(__xludf.DUMMYFUNCTION("""COMPUTED_VALUE"""),0.0)</f>
        <v>0</v>
      </c>
      <c r="E197" s="5">
        <f>IFERROR(__xludf.DUMMYFUNCTION("""COMPUTED_VALUE"""),664.0)</f>
        <v>664</v>
      </c>
      <c r="F197" s="5">
        <f>IFERROR(__xludf.DUMMYFUNCTION("""COMPUTED_VALUE"""),216.0)</f>
        <v>216</v>
      </c>
      <c r="G197" s="5">
        <f>IFERROR(__xludf.DUMMYFUNCTION("""COMPUTED_VALUE"""),448.0)</f>
        <v>448</v>
      </c>
      <c r="H197" s="5">
        <f>IFERROR(__xludf.DUMMYFUNCTION("""COMPUTED_VALUE"""),9.0)</f>
        <v>9</v>
      </c>
      <c r="I197" s="5">
        <f>IFERROR(__xludf.DUMMYFUNCTION("""COMPUTED_VALUE"""),4554.0)</f>
        <v>4554</v>
      </c>
      <c r="J197" s="5">
        <f>IFERROR(__xludf.DUMMYFUNCTION("""COMPUTED_VALUE"""),399.0)</f>
        <v>399</v>
      </c>
      <c r="K197" s="5">
        <f>IFERROR(__xludf.DUMMYFUNCTION("""COMPUTED_VALUE"""),4155.0)</f>
        <v>4155</v>
      </c>
      <c r="L197" s="5">
        <f>IFERROR(__xludf.DUMMYFUNCTION("""COMPUTED_VALUE"""),1.0)</f>
        <v>1</v>
      </c>
      <c r="M197" s="5">
        <f>IFERROR(__xludf.DUMMYFUNCTION("""COMPUTED_VALUE"""),3083.0)</f>
        <v>3083</v>
      </c>
      <c r="N197" s="5">
        <f>IFERROR(__xludf.DUMMYFUNCTION("""COMPUTED_VALUE"""),1522.0)</f>
        <v>1522</v>
      </c>
      <c r="O197" s="5">
        <f>IFERROR(__xludf.DUMMYFUNCTION("""COMPUTED_VALUE"""),1561.0)</f>
        <v>1561</v>
      </c>
      <c r="P197" s="23"/>
      <c r="Q197" s="5">
        <f>IFERROR(__xludf.DUMMYFUNCTION("""COMPUTED_VALUE"""),0.0)</f>
        <v>0</v>
      </c>
      <c r="R197" s="5" t="str">
        <f>IFERROR(__xludf.DUMMYFUNCTION("""COMPUTED_VALUE"""),"CJ")</f>
        <v>CJ</v>
      </c>
      <c r="S197" s="5">
        <f>IFERROR(__xludf.DUMMYFUNCTION("""COMPUTED_VALUE"""),6.0)</f>
        <v>6</v>
      </c>
      <c r="T197" s="5">
        <f>IFERROR(__xludf.DUMMYFUNCTION("""COMPUTED_VALUE"""),2011.0)</f>
        <v>2011</v>
      </c>
      <c r="U197" s="5" t="str">
        <f>IFERROR(__xludf.DUMMYFUNCTION("""COMPUTED_VALUE"""),"No")</f>
        <v>No</v>
      </c>
      <c r="V197" s="5"/>
      <c r="W197" s="5"/>
      <c r="X197" s="5"/>
      <c r="Y197" s="5"/>
      <c r="Z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23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9" t="s">
        <v>508</v>
      </c>
      <c r="U199" s="5"/>
      <c r="V199" s="5"/>
      <c r="W199" s="5"/>
      <c r="X199" s="5"/>
      <c r="Y199" s="5"/>
      <c r="Z199" s="5"/>
    </row>
    <row r="200">
      <c r="A200" s="5" t="str">
        <f>IFERROR(__xludf.DUMMYFUNCTION("query(Team!A2:U96, ""select * where U = 'No' and R &lt;&gt; 'COMP' order by M asc limit 3"",1)"),"Team")</f>
        <v>Team</v>
      </c>
      <c r="B200" s="5" t="str">
        <f>IFERROR(__xludf.DUMMYFUNCTION("""COMPUTED_VALUE"""),"W")</f>
        <v>W</v>
      </c>
      <c r="C200" s="5" t="str">
        <f>IFERROR(__xludf.DUMMYFUNCTION("""COMPUTED_VALUE"""),"L")</f>
        <v>L</v>
      </c>
      <c r="D200" s="5" t="str">
        <f>IFERROR(__xludf.DUMMYFUNCTION("""COMPUTED_VALUE"""),"T")</f>
        <v>T</v>
      </c>
      <c r="E200" s="5" t="str">
        <f>IFERROR(__xludf.DUMMYFUNCTION("""COMPUTED_VALUE"""),"FOR")</f>
        <v>FOR</v>
      </c>
      <c r="F200" s="5" t="str">
        <f>IFERROR(__xludf.DUMMYFUNCTION("""COMPUTED_VALUE"""),"AGAINST")</f>
        <v>AGAINST</v>
      </c>
      <c r="G200" s="5" t="str">
        <f>IFERROR(__xludf.DUMMYFUNCTION("""COMPUTED_VALUE"""),"DIFF")</f>
        <v>DIFF</v>
      </c>
      <c r="H200" s="5" t="str">
        <f>IFERROR(__xludf.DUMMYFUNCTION("""COMPUTED_VALUE"""),"OFF RANK")</f>
        <v>OFF RANK</v>
      </c>
      <c r="I200" s="5" t="str">
        <f>IFERROR(__xludf.DUMMYFUNCTION("""COMPUTED_VALUE"""),"TOTAL OFF")</f>
        <v>TOTAL OFF</v>
      </c>
      <c r="J200" s="5" t="str">
        <f>IFERROR(__xludf.DUMMYFUNCTION("""COMPUTED_VALUE"""),"PASS OFF")</f>
        <v>PASS OFF</v>
      </c>
      <c r="K200" s="5" t="str">
        <f>IFERROR(__xludf.DUMMYFUNCTION("""COMPUTED_VALUE"""),"RUSH OFF")</f>
        <v>RUSH OFF</v>
      </c>
      <c r="L200" s="5" t="str">
        <f>IFERROR(__xludf.DUMMYFUNCTION("""COMPUTED_VALUE"""),"DEF RANK")</f>
        <v>DEF RANK</v>
      </c>
      <c r="M200" s="5" t="str">
        <f>IFERROR(__xludf.DUMMYFUNCTION("""COMPUTED_VALUE"""),"TOTAL DEF")</f>
        <v>TOTAL DEF</v>
      </c>
      <c r="N200" s="5" t="str">
        <f>IFERROR(__xludf.DUMMYFUNCTION("""COMPUTED_VALUE"""),"PASS DEF")</f>
        <v>PASS DEF</v>
      </c>
      <c r="O200" s="5" t="str">
        <f>IFERROR(__xludf.DUMMYFUNCTION("""COMPUTED_VALUE"""),"RUSH DEF")</f>
        <v>RUSH DEF</v>
      </c>
      <c r="P200" s="23" t="str">
        <f>IFERROR(__xludf.DUMMYFUNCTION("""COMPUTED_VALUE"""),"SEASON END")</f>
        <v>SEASON END</v>
      </c>
      <c r="Q200" s="5" t="str">
        <f>IFERROR(__xludf.DUMMYFUNCTION("""COMPUTED_VALUE"""),"SUPERBOWL")</f>
        <v>SUPERBOWL</v>
      </c>
      <c r="R200" s="5" t="str">
        <f>IFERROR(__xludf.DUMMYFUNCTION("""COMPUTED_VALUE"""),"User")</f>
        <v>User</v>
      </c>
      <c r="S200" s="5" t="str">
        <f>IFERROR(__xludf.DUMMYFUNCTION("""COMPUTED_VALUE"""),"Season")</f>
        <v>Season</v>
      </c>
      <c r="T200" s="5" t="str">
        <f>IFERROR(__xludf.DUMMYFUNCTION("""COMPUTED_VALUE"""),"Year")</f>
        <v>Year</v>
      </c>
      <c r="U200" s="5" t="str">
        <f>IFERROR(__xludf.DUMMYFUNCTION("""COMPUTED_VALUE"""),"Solo")</f>
        <v>Solo</v>
      </c>
      <c r="V200" s="5"/>
      <c r="W200" s="5"/>
      <c r="X200" s="5"/>
      <c r="Y200" s="5"/>
      <c r="Z200" s="5"/>
    </row>
    <row r="201">
      <c r="A201" s="5" t="str">
        <f>IFERROR(__xludf.DUMMYFUNCTION("""COMPUTED_VALUE"""),"BUF")</f>
        <v>BUF</v>
      </c>
      <c r="B201" s="5">
        <f>IFERROR(__xludf.DUMMYFUNCTION("""COMPUTED_VALUE"""),16.0)</f>
        <v>16</v>
      </c>
      <c r="C201" s="5">
        <f>IFERROR(__xludf.DUMMYFUNCTION("""COMPUTED_VALUE"""),0.0)</f>
        <v>0</v>
      </c>
      <c r="D201" s="5">
        <f>IFERROR(__xludf.DUMMYFUNCTION("""COMPUTED_VALUE"""),0.0)</f>
        <v>0</v>
      </c>
      <c r="E201" s="5">
        <f>IFERROR(__xludf.DUMMYFUNCTION("""COMPUTED_VALUE"""),595.0)</f>
        <v>595</v>
      </c>
      <c r="F201" s="5">
        <f>IFERROR(__xludf.DUMMYFUNCTION("""COMPUTED_VALUE"""),94.0)</f>
        <v>94</v>
      </c>
      <c r="G201" s="5">
        <f>IFERROR(__xludf.DUMMYFUNCTION("""COMPUTED_VALUE"""),501.0)</f>
        <v>501</v>
      </c>
      <c r="H201" s="5">
        <f>IFERROR(__xludf.DUMMYFUNCTION("""COMPUTED_VALUE"""),6.0)</f>
        <v>6</v>
      </c>
      <c r="I201" s="5">
        <f>IFERROR(__xludf.DUMMYFUNCTION("""COMPUTED_VALUE"""),4673.0)</f>
        <v>4673</v>
      </c>
      <c r="J201" s="5">
        <f>IFERROR(__xludf.DUMMYFUNCTION("""COMPUTED_VALUE"""),2519.0)</f>
        <v>2519</v>
      </c>
      <c r="K201" s="5">
        <f>IFERROR(__xludf.DUMMYFUNCTION("""COMPUTED_VALUE"""),2154.0)</f>
        <v>2154</v>
      </c>
      <c r="L201" s="5">
        <f>IFERROR(__xludf.DUMMYFUNCTION("""COMPUTED_VALUE"""),1.0)</f>
        <v>1</v>
      </c>
      <c r="M201" s="5">
        <f>IFERROR(__xludf.DUMMYFUNCTION("""COMPUTED_VALUE"""),2298.0)</f>
        <v>2298</v>
      </c>
      <c r="N201" s="5">
        <f>IFERROR(__xludf.DUMMYFUNCTION("""COMPUTED_VALUE"""),1422.0)</f>
        <v>1422</v>
      </c>
      <c r="O201" s="5">
        <f>IFERROR(__xludf.DUMMYFUNCTION("""COMPUTED_VALUE"""),876.0)</f>
        <v>876</v>
      </c>
      <c r="P201" s="23" t="str">
        <f>IFERROR(__xludf.DUMMYFUNCTION("""COMPUTED_VALUE"""),"SB Victory Over SF (COMP) 30 - 9")</f>
        <v>SB Victory Over SF (COMP) 30 - 9</v>
      </c>
      <c r="Q201" s="5">
        <f>IFERROR(__xludf.DUMMYFUNCTION("""COMPUTED_VALUE"""),1.0)</f>
        <v>1</v>
      </c>
      <c r="R201" s="5" t="str">
        <f>IFERROR(__xludf.DUMMYFUNCTION("""COMPUTED_VALUE"""),"PJ")</f>
        <v>PJ</v>
      </c>
      <c r="S201" s="5">
        <f>IFERROR(__xludf.DUMMYFUNCTION("""COMPUTED_VALUE"""),16.0)</f>
        <v>16</v>
      </c>
      <c r="T201" s="5">
        <f>IFERROR(__xludf.DUMMYFUNCTION("""COMPUTED_VALUE"""),2024.0)</f>
        <v>2024</v>
      </c>
      <c r="U201" s="5" t="str">
        <f>IFERROR(__xludf.DUMMYFUNCTION("""COMPUTED_VALUE"""),"No")</f>
        <v>No</v>
      </c>
      <c r="V201" s="5"/>
      <c r="W201" s="5"/>
      <c r="X201" s="5"/>
      <c r="Y201" s="5"/>
      <c r="Z201" s="5"/>
    </row>
    <row r="202">
      <c r="A202" s="5" t="str">
        <f>IFERROR(__xludf.DUMMYFUNCTION("""COMPUTED_VALUE"""),"PIT")</f>
        <v>PIT</v>
      </c>
      <c r="B202" s="5">
        <f>IFERROR(__xludf.DUMMYFUNCTION("""COMPUTED_VALUE"""),14.0)</f>
        <v>14</v>
      </c>
      <c r="C202" s="5">
        <f>IFERROR(__xludf.DUMMYFUNCTION("""COMPUTED_VALUE"""),2.0)</f>
        <v>2</v>
      </c>
      <c r="D202" s="5">
        <f>IFERROR(__xludf.DUMMYFUNCTION("""COMPUTED_VALUE"""),0.0)</f>
        <v>0</v>
      </c>
      <c r="E202" s="5">
        <f>IFERROR(__xludf.DUMMYFUNCTION("""COMPUTED_VALUE"""),440.0)</f>
        <v>440</v>
      </c>
      <c r="F202" s="5">
        <f>IFERROR(__xludf.DUMMYFUNCTION("""COMPUTED_VALUE"""),114.0)</f>
        <v>114</v>
      </c>
      <c r="G202" s="5">
        <f>IFERROR(__xludf.DUMMYFUNCTION("""COMPUTED_VALUE"""),326.0)</f>
        <v>326</v>
      </c>
      <c r="H202" s="5">
        <f>IFERROR(__xludf.DUMMYFUNCTION("""COMPUTED_VALUE"""),28.0)</f>
        <v>28</v>
      </c>
      <c r="I202" s="5">
        <f>IFERROR(__xludf.DUMMYFUNCTION("""COMPUTED_VALUE"""),3263.0)</f>
        <v>3263</v>
      </c>
      <c r="J202" s="5">
        <f>IFERROR(__xludf.DUMMYFUNCTION("""COMPUTED_VALUE"""),1656.0)</f>
        <v>1656</v>
      </c>
      <c r="K202" s="5">
        <f>IFERROR(__xludf.DUMMYFUNCTION("""COMPUTED_VALUE"""),1607.0)</f>
        <v>1607</v>
      </c>
      <c r="L202" s="5">
        <f>IFERROR(__xludf.DUMMYFUNCTION("""COMPUTED_VALUE"""),1.0)</f>
        <v>1</v>
      </c>
      <c r="M202" s="5">
        <f>IFERROR(__xludf.DUMMYFUNCTION("""COMPUTED_VALUE"""),2392.0)</f>
        <v>2392</v>
      </c>
      <c r="N202" s="5">
        <f>IFERROR(__xludf.DUMMYFUNCTION("""COMPUTED_VALUE"""),1494.0)</f>
        <v>1494</v>
      </c>
      <c r="O202" s="5">
        <f>IFERROR(__xludf.DUMMYFUNCTION("""COMPUTED_VALUE"""),898.0)</f>
        <v>898</v>
      </c>
      <c r="P202" s="23" t="str">
        <f>IFERROR(__xludf.DUMMYFUNCTION("""COMPUTED_VALUE"""),"AFC Divisional Playoff Loss to KC (Comp) 27-14")</f>
        <v>AFC Divisional Playoff Loss to KC (Comp) 27-14</v>
      </c>
      <c r="Q202" s="5">
        <f>IFERROR(__xludf.DUMMYFUNCTION("""COMPUTED_VALUE"""),0.0)</f>
        <v>0</v>
      </c>
      <c r="R202" s="5" t="str">
        <f>IFERROR(__xludf.DUMMYFUNCTION("""COMPUTED_VALUE"""),"PJ")</f>
        <v>PJ</v>
      </c>
      <c r="S202" s="5">
        <f>IFERROR(__xludf.DUMMYFUNCTION("""COMPUTED_VALUE"""),15.0)</f>
        <v>15</v>
      </c>
      <c r="T202" s="5">
        <f>IFERROR(__xludf.DUMMYFUNCTION("""COMPUTED_VALUE"""),2023.0)</f>
        <v>2023</v>
      </c>
      <c r="U202" s="5" t="str">
        <f>IFERROR(__xludf.DUMMYFUNCTION("""COMPUTED_VALUE"""),"No")</f>
        <v>No</v>
      </c>
      <c r="V202" s="5"/>
      <c r="W202" s="5"/>
      <c r="X202" s="5"/>
      <c r="Y202" s="5"/>
      <c r="Z202" s="5"/>
    </row>
    <row r="203">
      <c r="A203" s="5" t="str">
        <f>IFERROR(__xludf.DUMMYFUNCTION("""COMPUTED_VALUE"""),"GIA")</f>
        <v>GIA</v>
      </c>
      <c r="B203" s="5">
        <f>IFERROR(__xludf.DUMMYFUNCTION("""COMPUTED_VALUE"""),16.0)</f>
        <v>16</v>
      </c>
      <c r="C203" s="5">
        <f>IFERROR(__xludf.DUMMYFUNCTION("""COMPUTED_VALUE"""),0.0)</f>
        <v>0</v>
      </c>
      <c r="D203" s="5">
        <f>IFERROR(__xludf.DUMMYFUNCTION("""COMPUTED_VALUE"""),0.0)</f>
        <v>0</v>
      </c>
      <c r="E203" s="5">
        <f>IFERROR(__xludf.DUMMYFUNCTION("""COMPUTED_VALUE"""),821.0)</f>
        <v>821</v>
      </c>
      <c r="F203" s="5">
        <f>IFERROR(__xludf.DUMMYFUNCTION("""COMPUTED_VALUE"""),88.0)</f>
        <v>88</v>
      </c>
      <c r="G203" s="5">
        <f>IFERROR(__xludf.DUMMYFUNCTION("""COMPUTED_VALUE"""),733.0)</f>
        <v>733</v>
      </c>
      <c r="H203" s="5">
        <f>IFERROR(__xludf.DUMMYFUNCTION("""COMPUTED_VALUE"""),2.0)</f>
        <v>2</v>
      </c>
      <c r="I203" s="5">
        <f>IFERROR(__xludf.DUMMYFUNCTION("""COMPUTED_VALUE"""),5489.0)</f>
        <v>5489</v>
      </c>
      <c r="J203" s="5">
        <f>IFERROR(__xludf.DUMMYFUNCTION("""COMPUTED_VALUE"""),4696.0)</f>
        <v>4696</v>
      </c>
      <c r="K203" s="5">
        <f>IFERROR(__xludf.DUMMYFUNCTION("""COMPUTED_VALUE"""),793.0)</f>
        <v>793</v>
      </c>
      <c r="L203" s="5">
        <f>IFERROR(__xludf.DUMMYFUNCTION("""COMPUTED_VALUE"""),1.0)</f>
        <v>1</v>
      </c>
      <c r="M203" s="5">
        <f>IFERROR(__xludf.DUMMYFUNCTION("""COMPUTED_VALUE"""),2424.0)</f>
        <v>2424</v>
      </c>
      <c r="N203" s="5">
        <f>IFERROR(__xludf.DUMMYFUNCTION("""COMPUTED_VALUE"""),980.0)</f>
        <v>980</v>
      </c>
      <c r="O203" s="5">
        <f>IFERROR(__xludf.DUMMYFUNCTION("""COMPUTED_VALUE"""),1444.0)</f>
        <v>1444</v>
      </c>
      <c r="P203" s="23"/>
      <c r="Q203" s="5">
        <f>IFERROR(__xludf.DUMMYFUNCTION("""COMPUTED_VALUE"""),1.0)</f>
        <v>1</v>
      </c>
      <c r="R203" s="5" t="str">
        <f>IFERROR(__xludf.DUMMYFUNCTION("""COMPUTED_VALUE"""),"PJ")</f>
        <v>PJ</v>
      </c>
      <c r="S203" s="5">
        <f>IFERROR(__xludf.DUMMYFUNCTION("""COMPUTED_VALUE"""),5.0)</f>
        <v>5</v>
      </c>
      <c r="T203" s="5">
        <f>IFERROR(__xludf.DUMMYFUNCTION("""COMPUTED_VALUE"""),2010.0)</f>
        <v>2010</v>
      </c>
      <c r="U203" s="5" t="str">
        <f>IFERROR(__xludf.DUMMYFUNCTION("""COMPUTED_VALUE"""),"No")</f>
        <v>No</v>
      </c>
      <c r="V203" s="5"/>
      <c r="W203" s="5"/>
      <c r="X203" s="5"/>
      <c r="Y203" s="5"/>
      <c r="Z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23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9" t="s">
        <v>515</v>
      </c>
      <c r="U205" s="5"/>
      <c r="V205" s="5"/>
      <c r="W205" s="5"/>
      <c r="X205" s="5"/>
      <c r="Y205" s="5"/>
      <c r="Z205" s="5"/>
    </row>
    <row r="206">
      <c r="A206" s="5" t="str">
        <f>IFERROR(__xludf.DUMMYFUNCTION("query(Team!A2:U96, ""select * where U = 'No' and R &lt;&gt; 'COMP' order by N asc limit 3"",1)"),"Team")</f>
        <v>Team</v>
      </c>
      <c r="B206" s="5" t="str">
        <f>IFERROR(__xludf.DUMMYFUNCTION("""COMPUTED_VALUE"""),"W")</f>
        <v>W</v>
      </c>
      <c r="C206" s="5" t="str">
        <f>IFERROR(__xludf.DUMMYFUNCTION("""COMPUTED_VALUE"""),"L")</f>
        <v>L</v>
      </c>
      <c r="D206" s="5" t="str">
        <f>IFERROR(__xludf.DUMMYFUNCTION("""COMPUTED_VALUE"""),"T")</f>
        <v>T</v>
      </c>
      <c r="E206" s="5" t="str">
        <f>IFERROR(__xludf.DUMMYFUNCTION("""COMPUTED_VALUE"""),"FOR")</f>
        <v>FOR</v>
      </c>
      <c r="F206" s="5" t="str">
        <f>IFERROR(__xludf.DUMMYFUNCTION("""COMPUTED_VALUE"""),"AGAINST")</f>
        <v>AGAINST</v>
      </c>
      <c r="G206" s="5" t="str">
        <f>IFERROR(__xludf.DUMMYFUNCTION("""COMPUTED_VALUE"""),"DIFF")</f>
        <v>DIFF</v>
      </c>
      <c r="H206" s="5" t="str">
        <f>IFERROR(__xludf.DUMMYFUNCTION("""COMPUTED_VALUE"""),"OFF RANK")</f>
        <v>OFF RANK</v>
      </c>
      <c r="I206" s="5" t="str">
        <f>IFERROR(__xludf.DUMMYFUNCTION("""COMPUTED_VALUE"""),"TOTAL OFF")</f>
        <v>TOTAL OFF</v>
      </c>
      <c r="J206" s="5" t="str">
        <f>IFERROR(__xludf.DUMMYFUNCTION("""COMPUTED_VALUE"""),"PASS OFF")</f>
        <v>PASS OFF</v>
      </c>
      <c r="K206" s="5" t="str">
        <f>IFERROR(__xludf.DUMMYFUNCTION("""COMPUTED_VALUE"""),"RUSH OFF")</f>
        <v>RUSH OFF</v>
      </c>
      <c r="L206" s="5" t="str">
        <f>IFERROR(__xludf.DUMMYFUNCTION("""COMPUTED_VALUE"""),"DEF RANK")</f>
        <v>DEF RANK</v>
      </c>
      <c r="M206" s="5" t="str">
        <f>IFERROR(__xludf.DUMMYFUNCTION("""COMPUTED_VALUE"""),"TOTAL DEF")</f>
        <v>TOTAL DEF</v>
      </c>
      <c r="N206" s="5" t="str">
        <f>IFERROR(__xludf.DUMMYFUNCTION("""COMPUTED_VALUE"""),"PASS DEF")</f>
        <v>PASS DEF</v>
      </c>
      <c r="O206" s="5" t="str">
        <f>IFERROR(__xludf.DUMMYFUNCTION("""COMPUTED_VALUE"""),"RUSH DEF")</f>
        <v>RUSH DEF</v>
      </c>
      <c r="P206" s="23" t="str">
        <f>IFERROR(__xludf.DUMMYFUNCTION("""COMPUTED_VALUE"""),"SEASON END")</f>
        <v>SEASON END</v>
      </c>
      <c r="Q206" s="5" t="str">
        <f>IFERROR(__xludf.DUMMYFUNCTION("""COMPUTED_VALUE"""),"SUPERBOWL")</f>
        <v>SUPERBOWL</v>
      </c>
      <c r="R206" s="5" t="str">
        <f>IFERROR(__xludf.DUMMYFUNCTION("""COMPUTED_VALUE"""),"User")</f>
        <v>User</v>
      </c>
      <c r="S206" s="5" t="str">
        <f>IFERROR(__xludf.DUMMYFUNCTION("""COMPUTED_VALUE"""),"Season")</f>
        <v>Season</v>
      </c>
      <c r="T206" s="5" t="str">
        <f>IFERROR(__xludf.DUMMYFUNCTION("""COMPUTED_VALUE"""),"Year")</f>
        <v>Year</v>
      </c>
      <c r="U206" s="5" t="str">
        <f>IFERROR(__xludf.DUMMYFUNCTION("""COMPUTED_VALUE"""),"Solo")</f>
        <v>Solo</v>
      </c>
      <c r="V206" s="5"/>
      <c r="W206" s="5"/>
      <c r="X206" s="5"/>
      <c r="Y206" s="5"/>
      <c r="Z206" s="5"/>
    </row>
    <row r="207">
      <c r="A207" s="5" t="str">
        <f>IFERROR(__xludf.DUMMYFUNCTION("""COMPUTED_VALUE"""),"GIA")</f>
        <v>GIA</v>
      </c>
      <c r="B207" s="5">
        <f>IFERROR(__xludf.DUMMYFUNCTION("""COMPUTED_VALUE"""),16.0)</f>
        <v>16</v>
      </c>
      <c r="C207" s="5">
        <f>IFERROR(__xludf.DUMMYFUNCTION("""COMPUTED_VALUE"""),0.0)</f>
        <v>0</v>
      </c>
      <c r="D207" s="5">
        <f>IFERROR(__xludf.DUMMYFUNCTION("""COMPUTED_VALUE"""),0.0)</f>
        <v>0</v>
      </c>
      <c r="E207" s="5">
        <f>IFERROR(__xludf.DUMMYFUNCTION("""COMPUTED_VALUE"""),821.0)</f>
        <v>821</v>
      </c>
      <c r="F207" s="5">
        <f>IFERROR(__xludf.DUMMYFUNCTION("""COMPUTED_VALUE"""),88.0)</f>
        <v>88</v>
      </c>
      <c r="G207" s="5">
        <f>IFERROR(__xludf.DUMMYFUNCTION("""COMPUTED_VALUE"""),733.0)</f>
        <v>733</v>
      </c>
      <c r="H207" s="5">
        <f>IFERROR(__xludf.DUMMYFUNCTION("""COMPUTED_VALUE"""),2.0)</f>
        <v>2</v>
      </c>
      <c r="I207" s="5">
        <f>IFERROR(__xludf.DUMMYFUNCTION("""COMPUTED_VALUE"""),5489.0)</f>
        <v>5489</v>
      </c>
      <c r="J207" s="5">
        <f>IFERROR(__xludf.DUMMYFUNCTION("""COMPUTED_VALUE"""),4696.0)</f>
        <v>4696</v>
      </c>
      <c r="K207" s="5">
        <f>IFERROR(__xludf.DUMMYFUNCTION("""COMPUTED_VALUE"""),793.0)</f>
        <v>793</v>
      </c>
      <c r="L207" s="5">
        <f>IFERROR(__xludf.DUMMYFUNCTION("""COMPUTED_VALUE"""),1.0)</f>
        <v>1</v>
      </c>
      <c r="M207" s="5">
        <f>IFERROR(__xludf.DUMMYFUNCTION("""COMPUTED_VALUE"""),2424.0)</f>
        <v>2424</v>
      </c>
      <c r="N207" s="5">
        <f>IFERROR(__xludf.DUMMYFUNCTION("""COMPUTED_VALUE"""),980.0)</f>
        <v>980</v>
      </c>
      <c r="O207" s="5">
        <f>IFERROR(__xludf.DUMMYFUNCTION("""COMPUTED_VALUE"""),1444.0)</f>
        <v>1444</v>
      </c>
      <c r="P207" s="23"/>
      <c r="Q207" s="5">
        <f>IFERROR(__xludf.DUMMYFUNCTION("""COMPUTED_VALUE"""),1.0)</f>
        <v>1</v>
      </c>
      <c r="R207" s="5" t="str">
        <f>IFERROR(__xludf.DUMMYFUNCTION("""COMPUTED_VALUE"""),"PJ")</f>
        <v>PJ</v>
      </c>
      <c r="S207" s="5">
        <f>IFERROR(__xludf.DUMMYFUNCTION("""COMPUTED_VALUE"""),5.0)</f>
        <v>5</v>
      </c>
      <c r="T207" s="5">
        <f>IFERROR(__xludf.DUMMYFUNCTION("""COMPUTED_VALUE"""),2010.0)</f>
        <v>2010</v>
      </c>
      <c r="U207" s="5" t="str">
        <f>IFERROR(__xludf.DUMMYFUNCTION("""COMPUTED_VALUE"""),"No")</f>
        <v>No</v>
      </c>
      <c r="V207" s="5"/>
      <c r="W207" s="5"/>
      <c r="X207" s="5"/>
      <c r="Y207" s="5"/>
      <c r="Z207" s="5"/>
    </row>
    <row r="208">
      <c r="A208" s="5" t="str">
        <f>IFERROR(__xludf.DUMMYFUNCTION("""COMPUTED_VALUE"""),"HOU")</f>
        <v>HOU</v>
      </c>
      <c r="B208" s="5">
        <f>IFERROR(__xludf.DUMMYFUNCTION("""COMPUTED_VALUE"""),14.0)</f>
        <v>14</v>
      </c>
      <c r="C208" s="5">
        <f>IFERROR(__xludf.DUMMYFUNCTION("""COMPUTED_VALUE"""),2.0)</f>
        <v>2</v>
      </c>
      <c r="D208" s="5">
        <f>IFERROR(__xludf.DUMMYFUNCTION("""COMPUTED_VALUE"""),0.0)</f>
        <v>0</v>
      </c>
      <c r="E208" s="5">
        <f>IFERROR(__xludf.DUMMYFUNCTION("""COMPUTED_VALUE"""),588.0)</f>
        <v>588</v>
      </c>
      <c r="F208" s="5">
        <f>IFERROR(__xludf.DUMMYFUNCTION("""COMPUTED_VALUE"""),311.0)</f>
        <v>311</v>
      </c>
      <c r="G208" s="5">
        <f>IFERROR(__xludf.DUMMYFUNCTION("""COMPUTED_VALUE"""),277.0)</f>
        <v>277</v>
      </c>
      <c r="H208" s="5">
        <f>IFERROR(__xludf.DUMMYFUNCTION("""COMPUTED_VALUE"""),1.0)</f>
        <v>1</v>
      </c>
      <c r="I208" s="5">
        <f>IFERROR(__xludf.DUMMYFUNCTION("""COMPUTED_VALUE"""),5647.0)</f>
        <v>5647</v>
      </c>
      <c r="J208" s="5">
        <f>IFERROR(__xludf.DUMMYFUNCTION("""COMPUTED_VALUE"""),5530.0)</f>
        <v>5530</v>
      </c>
      <c r="K208" s="5">
        <f>IFERROR(__xludf.DUMMYFUNCTION("""COMPUTED_VALUE"""),117.0)</f>
        <v>117</v>
      </c>
      <c r="L208" s="5">
        <f>IFERROR(__xludf.DUMMYFUNCTION("""COMPUTED_VALUE"""),4.0)</f>
        <v>4</v>
      </c>
      <c r="M208" s="5">
        <f>IFERROR(__xludf.DUMMYFUNCTION("""COMPUTED_VALUE"""),3883.0)</f>
        <v>3883</v>
      </c>
      <c r="N208" s="5">
        <f>IFERROR(__xludf.DUMMYFUNCTION("""COMPUTED_VALUE"""),1004.0)</f>
        <v>1004</v>
      </c>
      <c r="O208" s="5">
        <f>IFERROR(__xludf.DUMMYFUNCTION("""COMPUTED_VALUE"""),3879.0)</f>
        <v>3879</v>
      </c>
      <c r="P208" s="23"/>
      <c r="Q208" s="5">
        <f>IFERROR(__xludf.DUMMYFUNCTION("""COMPUTED_VALUE"""),0.0)</f>
        <v>0</v>
      </c>
      <c r="R208" s="5" t="str">
        <f>IFERROR(__xludf.DUMMYFUNCTION("""COMPUTED_VALUE"""),"WB")</f>
        <v>WB</v>
      </c>
      <c r="S208" s="5">
        <f>IFERROR(__xludf.DUMMYFUNCTION("""COMPUTED_VALUE"""),4.0)</f>
        <v>4</v>
      </c>
      <c r="T208" s="5">
        <f>IFERROR(__xludf.DUMMYFUNCTION("""COMPUTED_VALUE"""),2009.0)</f>
        <v>2009</v>
      </c>
      <c r="U208" s="5" t="str">
        <f>IFERROR(__xludf.DUMMYFUNCTION("""COMPUTED_VALUE"""),"No")</f>
        <v>No</v>
      </c>
      <c r="V208" s="5"/>
      <c r="W208" s="5"/>
      <c r="X208" s="5"/>
      <c r="Y208" s="5"/>
      <c r="Z208" s="5"/>
    </row>
    <row r="209">
      <c r="A209" s="5" t="str">
        <f>IFERROR(__xludf.DUMMYFUNCTION("""COMPUTED_VALUE"""),"TB")</f>
        <v>TB</v>
      </c>
      <c r="B209" s="5">
        <f>IFERROR(__xludf.DUMMYFUNCTION("""COMPUTED_VALUE"""),15.0)</f>
        <v>15</v>
      </c>
      <c r="C209" s="5">
        <f>IFERROR(__xludf.DUMMYFUNCTION("""COMPUTED_VALUE"""),1.0)</f>
        <v>1</v>
      </c>
      <c r="D209" s="5">
        <f>IFERROR(__xludf.DUMMYFUNCTION("""COMPUTED_VALUE"""),0.0)</f>
        <v>0</v>
      </c>
      <c r="E209" s="5">
        <f>IFERROR(__xludf.DUMMYFUNCTION("""COMPUTED_VALUE"""),619.0)</f>
        <v>619</v>
      </c>
      <c r="F209" s="5">
        <f>IFERROR(__xludf.DUMMYFUNCTION("""COMPUTED_VALUE"""),245.0)</f>
        <v>245</v>
      </c>
      <c r="G209" s="5">
        <f>IFERROR(__xludf.DUMMYFUNCTION("""COMPUTED_VALUE"""),374.0)</f>
        <v>374</v>
      </c>
      <c r="H209" s="5">
        <f>IFERROR(__xludf.DUMMYFUNCTION("""COMPUTED_VALUE"""),2.0)</f>
        <v>2</v>
      </c>
      <c r="I209" s="5">
        <f>IFERROR(__xludf.DUMMYFUNCTION("""COMPUTED_VALUE"""),5481.0)</f>
        <v>5481</v>
      </c>
      <c r="J209" s="5">
        <f>IFERROR(__xludf.DUMMYFUNCTION("""COMPUTED_VALUE"""),4873.0)</f>
        <v>4873</v>
      </c>
      <c r="K209" s="5">
        <f>IFERROR(__xludf.DUMMYFUNCTION("""COMPUTED_VALUE"""),608.0)</f>
        <v>608</v>
      </c>
      <c r="L209" s="5">
        <f>IFERROR(__xludf.DUMMYFUNCTION("""COMPUTED_VALUE"""),1.0)</f>
        <v>1</v>
      </c>
      <c r="M209" s="5">
        <f>IFERROR(__xludf.DUMMYFUNCTION("""COMPUTED_VALUE"""),2945.0)</f>
        <v>2945</v>
      </c>
      <c r="N209" s="5">
        <f>IFERROR(__xludf.DUMMYFUNCTION("""COMPUTED_VALUE"""),1098.0)</f>
        <v>1098</v>
      </c>
      <c r="O209" s="5">
        <f>IFERROR(__xludf.DUMMYFUNCTION("""COMPUTED_VALUE"""),1847.0)</f>
        <v>1847</v>
      </c>
      <c r="P209" s="23"/>
      <c r="Q209" s="5">
        <f>IFERROR(__xludf.DUMMYFUNCTION("""COMPUTED_VALUE"""),1.0)</f>
        <v>1</v>
      </c>
      <c r="R209" s="5" t="str">
        <f>IFERROR(__xludf.DUMMYFUNCTION("""COMPUTED_VALUE"""),"PJ")</f>
        <v>PJ</v>
      </c>
      <c r="S209" s="5">
        <f>IFERROR(__xludf.DUMMYFUNCTION("""COMPUTED_VALUE"""),4.0)</f>
        <v>4</v>
      </c>
      <c r="T209" s="5">
        <f>IFERROR(__xludf.DUMMYFUNCTION("""COMPUTED_VALUE"""),2009.0)</f>
        <v>2009</v>
      </c>
      <c r="U209" s="5" t="str">
        <f>IFERROR(__xludf.DUMMYFUNCTION("""COMPUTED_VALUE"""),"No")</f>
        <v>No</v>
      </c>
      <c r="V209" s="5"/>
      <c r="W209" s="5"/>
      <c r="X209" s="5"/>
      <c r="Y209" s="5"/>
      <c r="Z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23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9" t="s">
        <v>538</v>
      </c>
      <c r="U211" s="5"/>
      <c r="V211" s="5"/>
      <c r="W211" s="5"/>
      <c r="X211" s="5"/>
      <c r="Y211" s="5"/>
      <c r="Z211" s="5"/>
    </row>
    <row r="212">
      <c r="A212" s="5" t="str">
        <f>IFERROR(__xludf.DUMMYFUNCTION("query(Team!A2:U96, ""select * where U = 'No' and R &lt;&gt; 'COMP' order by O asc limit 3"",1)"),"Team")</f>
        <v>Team</v>
      </c>
      <c r="B212" s="5" t="str">
        <f>IFERROR(__xludf.DUMMYFUNCTION("""COMPUTED_VALUE"""),"W")</f>
        <v>W</v>
      </c>
      <c r="C212" s="5" t="str">
        <f>IFERROR(__xludf.DUMMYFUNCTION("""COMPUTED_VALUE"""),"L")</f>
        <v>L</v>
      </c>
      <c r="D212" s="5" t="str">
        <f>IFERROR(__xludf.DUMMYFUNCTION("""COMPUTED_VALUE"""),"T")</f>
        <v>T</v>
      </c>
      <c r="E212" s="5" t="str">
        <f>IFERROR(__xludf.DUMMYFUNCTION("""COMPUTED_VALUE"""),"FOR")</f>
        <v>FOR</v>
      </c>
      <c r="F212" s="5" t="str">
        <f>IFERROR(__xludf.DUMMYFUNCTION("""COMPUTED_VALUE"""),"AGAINST")</f>
        <v>AGAINST</v>
      </c>
      <c r="G212" s="5" t="str">
        <f>IFERROR(__xludf.DUMMYFUNCTION("""COMPUTED_VALUE"""),"DIFF")</f>
        <v>DIFF</v>
      </c>
      <c r="H212" s="5" t="str">
        <f>IFERROR(__xludf.DUMMYFUNCTION("""COMPUTED_VALUE"""),"OFF RANK")</f>
        <v>OFF RANK</v>
      </c>
      <c r="I212" s="5" t="str">
        <f>IFERROR(__xludf.DUMMYFUNCTION("""COMPUTED_VALUE"""),"TOTAL OFF")</f>
        <v>TOTAL OFF</v>
      </c>
      <c r="J212" s="5" t="str">
        <f>IFERROR(__xludf.DUMMYFUNCTION("""COMPUTED_VALUE"""),"PASS OFF")</f>
        <v>PASS OFF</v>
      </c>
      <c r="K212" s="5" t="str">
        <f>IFERROR(__xludf.DUMMYFUNCTION("""COMPUTED_VALUE"""),"RUSH OFF")</f>
        <v>RUSH OFF</v>
      </c>
      <c r="L212" s="5" t="str">
        <f>IFERROR(__xludf.DUMMYFUNCTION("""COMPUTED_VALUE"""),"DEF RANK")</f>
        <v>DEF RANK</v>
      </c>
      <c r="M212" s="5" t="str">
        <f>IFERROR(__xludf.DUMMYFUNCTION("""COMPUTED_VALUE"""),"TOTAL DEF")</f>
        <v>TOTAL DEF</v>
      </c>
      <c r="N212" s="5" t="str">
        <f>IFERROR(__xludf.DUMMYFUNCTION("""COMPUTED_VALUE"""),"PASS DEF")</f>
        <v>PASS DEF</v>
      </c>
      <c r="O212" s="5" t="str">
        <f>IFERROR(__xludf.DUMMYFUNCTION("""COMPUTED_VALUE"""),"RUSH DEF")</f>
        <v>RUSH DEF</v>
      </c>
      <c r="P212" s="23" t="str">
        <f>IFERROR(__xludf.DUMMYFUNCTION("""COMPUTED_VALUE"""),"SEASON END")</f>
        <v>SEASON END</v>
      </c>
      <c r="Q212" s="5" t="str">
        <f>IFERROR(__xludf.DUMMYFUNCTION("""COMPUTED_VALUE"""),"SUPERBOWL")</f>
        <v>SUPERBOWL</v>
      </c>
      <c r="R212" s="5" t="str">
        <f>IFERROR(__xludf.DUMMYFUNCTION("""COMPUTED_VALUE"""),"User")</f>
        <v>User</v>
      </c>
      <c r="S212" s="5" t="str">
        <f>IFERROR(__xludf.DUMMYFUNCTION("""COMPUTED_VALUE"""),"Season")</f>
        <v>Season</v>
      </c>
      <c r="T212" s="5" t="str">
        <f>IFERROR(__xludf.DUMMYFUNCTION("""COMPUTED_VALUE"""),"Year")</f>
        <v>Year</v>
      </c>
      <c r="U212" s="5" t="str">
        <f>IFERROR(__xludf.DUMMYFUNCTION("""COMPUTED_VALUE"""),"Solo")</f>
        <v>Solo</v>
      </c>
      <c r="V212" s="5"/>
      <c r="W212" s="5"/>
      <c r="X212" s="5"/>
      <c r="Y212" s="5"/>
      <c r="Z212" s="5"/>
    </row>
    <row r="213">
      <c r="A213" s="5" t="str">
        <f>IFERROR(__xludf.DUMMYFUNCTION("""COMPUTED_VALUE"""),"BUF")</f>
        <v>BUF</v>
      </c>
      <c r="B213" s="5">
        <f>IFERROR(__xludf.DUMMYFUNCTION("""COMPUTED_VALUE"""),16.0)</f>
        <v>16</v>
      </c>
      <c r="C213" s="5">
        <f>IFERROR(__xludf.DUMMYFUNCTION("""COMPUTED_VALUE"""),0.0)</f>
        <v>0</v>
      </c>
      <c r="D213" s="5">
        <f>IFERROR(__xludf.DUMMYFUNCTION("""COMPUTED_VALUE"""),0.0)</f>
        <v>0</v>
      </c>
      <c r="E213" s="5">
        <f>IFERROR(__xludf.DUMMYFUNCTION("""COMPUTED_VALUE"""),595.0)</f>
        <v>595</v>
      </c>
      <c r="F213" s="5">
        <f>IFERROR(__xludf.DUMMYFUNCTION("""COMPUTED_VALUE"""),94.0)</f>
        <v>94</v>
      </c>
      <c r="G213" s="5">
        <f>IFERROR(__xludf.DUMMYFUNCTION("""COMPUTED_VALUE"""),501.0)</f>
        <v>501</v>
      </c>
      <c r="H213" s="5">
        <f>IFERROR(__xludf.DUMMYFUNCTION("""COMPUTED_VALUE"""),6.0)</f>
        <v>6</v>
      </c>
      <c r="I213" s="5">
        <f>IFERROR(__xludf.DUMMYFUNCTION("""COMPUTED_VALUE"""),4673.0)</f>
        <v>4673</v>
      </c>
      <c r="J213" s="5">
        <f>IFERROR(__xludf.DUMMYFUNCTION("""COMPUTED_VALUE"""),2519.0)</f>
        <v>2519</v>
      </c>
      <c r="K213" s="5">
        <f>IFERROR(__xludf.DUMMYFUNCTION("""COMPUTED_VALUE"""),2154.0)</f>
        <v>2154</v>
      </c>
      <c r="L213" s="5">
        <f>IFERROR(__xludf.DUMMYFUNCTION("""COMPUTED_VALUE"""),1.0)</f>
        <v>1</v>
      </c>
      <c r="M213" s="5">
        <f>IFERROR(__xludf.DUMMYFUNCTION("""COMPUTED_VALUE"""),2298.0)</f>
        <v>2298</v>
      </c>
      <c r="N213" s="5">
        <f>IFERROR(__xludf.DUMMYFUNCTION("""COMPUTED_VALUE"""),1422.0)</f>
        <v>1422</v>
      </c>
      <c r="O213" s="5">
        <f>IFERROR(__xludf.DUMMYFUNCTION("""COMPUTED_VALUE"""),876.0)</f>
        <v>876</v>
      </c>
      <c r="P213" s="23" t="str">
        <f>IFERROR(__xludf.DUMMYFUNCTION("""COMPUTED_VALUE"""),"SB Victory Over SF (COMP) 30 - 9")</f>
        <v>SB Victory Over SF (COMP) 30 - 9</v>
      </c>
      <c r="Q213" s="5">
        <f>IFERROR(__xludf.DUMMYFUNCTION("""COMPUTED_VALUE"""),1.0)</f>
        <v>1</v>
      </c>
      <c r="R213" s="5" t="str">
        <f>IFERROR(__xludf.DUMMYFUNCTION("""COMPUTED_VALUE"""),"PJ")</f>
        <v>PJ</v>
      </c>
      <c r="S213" s="5">
        <f>IFERROR(__xludf.DUMMYFUNCTION("""COMPUTED_VALUE"""),16.0)</f>
        <v>16</v>
      </c>
      <c r="T213" s="5">
        <f>IFERROR(__xludf.DUMMYFUNCTION("""COMPUTED_VALUE"""),2024.0)</f>
        <v>2024</v>
      </c>
      <c r="U213" s="5" t="str">
        <f>IFERROR(__xludf.DUMMYFUNCTION("""COMPUTED_VALUE"""),"No")</f>
        <v>No</v>
      </c>
      <c r="V213" s="5"/>
      <c r="W213" s="5"/>
      <c r="X213" s="5"/>
      <c r="Y213" s="5"/>
      <c r="Z213" s="5"/>
    </row>
    <row r="214">
      <c r="A214" s="5" t="str">
        <f>IFERROR(__xludf.DUMMYFUNCTION("""COMPUTED_VALUE"""),"RAI")</f>
        <v>RAI</v>
      </c>
      <c r="B214" s="5">
        <f>IFERROR(__xludf.DUMMYFUNCTION("""COMPUTED_VALUE"""),16.0)</f>
        <v>16</v>
      </c>
      <c r="C214" s="5">
        <f>IFERROR(__xludf.DUMMYFUNCTION("""COMPUTED_VALUE"""),0.0)</f>
        <v>0</v>
      </c>
      <c r="D214" s="5">
        <f>IFERROR(__xludf.DUMMYFUNCTION("""COMPUTED_VALUE"""),0.0)</f>
        <v>0</v>
      </c>
      <c r="E214" s="5">
        <f>IFERROR(__xludf.DUMMYFUNCTION("""COMPUTED_VALUE"""),777.0)</f>
        <v>777</v>
      </c>
      <c r="F214" s="5">
        <f>IFERROR(__xludf.DUMMYFUNCTION("""COMPUTED_VALUE"""),122.0)</f>
        <v>122</v>
      </c>
      <c r="G214" s="5">
        <f>IFERROR(__xludf.DUMMYFUNCTION("""COMPUTED_VALUE"""),655.0)</f>
        <v>655</v>
      </c>
      <c r="H214" s="5">
        <f>IFERROR(__xludf.DUMMYFUNCTION("""COMPUTED_VALUE"""),2.0)</f>
        <v>2</v>
      </c>
      <c r="I214" s="5">
        <f>IFERROR(__xludf.DUMMYFUNCTION("""COMPUTED_VALUE"""),5808.0)</f>
        <v>5808</v>
      </c>
      <c r="J214" s="5">
        <f>IFERROR(__xludf.DUMMYFUNCTION("""COMPUTED_VALUE"""),1217.0)</f>
        <v>1217</v>
      </c>
      <c r="K214" s="5">
        <f>IFERROR(__xludf.DUMMYFUNCTION("""COMPUTED_VALUE"""),4591.0)</f>
        <v>4591</v>
      </c>
      <c r="L214" s="5">
        <f>IFERROR(__xludf.DUMMYFUNCTION("""COMPUTED_VALUE"""),1.0)</f>
        <v>1</v>
      </c>
      <c r="M214" s="5">
        <f>IFERROR(__xludf.DUMMYFUNCTION("""COMPUTED_VALUE"""),2697.0)</f>
        <v>2697</v>
      </c>
      <c r="N214" s="5">
        <f>IFERROR(__xludf.DUMMYFUNCTION("""COMPUTED_VALUE"""),1818.0)</f>
        <v>1818</v>
      </c>
      <c r="O214" s="5">
        <f>IFERROR(__xludf.DUMMYFUNCTION("""COMPUTED_VALUE"""),879.0)</f>
        <v>879</v>
      </c>
      <c r="P214" s="23"/>
      <c r="Q214" s="5">
        <f>IFERROR(__xludf.DUMMYFUNCTION("""COMPUTED_VALUE"""),1.0)</f>
        <v>1</v>
      </c>
      <c r="R214" s="5" t="str">
        <f>IFERROR(__xludf.DUMMYFUNCTION("""COMPUTED_VALUE"""),"PJ")</f>
        <v>PJ</v>
      </c>
      <c r="S214" s="5">
        <f>IFERROR(__xludf.DUMMYFUNCTION("""COMPUTED_VALUE"""),13.0)</f>
        <v>13</v>
      </c>
      <c r="T214" s="5">
        <f>IFERROR(__xludf.DUMMYFUNCTION("""COMPUTED_VALUE"""),2021.0)</f>
        <v>2021</v>
      </c>
      <c r="U214" s="5" t="str">
        <f>IFERROR(__xludf.DUMMYFUNCTION("""COMPUTED_VALUE"""),"No")</f>
        <v>No</v>
      </c>
      <c r="V214" s="5"/>
      <c r="W214" s="5"/>
      <c r="X214" s="5"/>
      <c r="Y214" s="5"/>
      <c r="Z214" s="5"/>
    </row>
    <row r="215">
      <c r="A215" s="5" t="str">
        <f>IFERROR(__xludf.DUMMYFUNCTION("""COMPUTED_VALUE"""),"PIT")</f>
        <v>PIT</v>
      </c>
      <c r="B215" s="5">
        <f>IFERROR(__xludf.DUMMYFUNCTION("""COMPUTED_VALUE"""),14.0)</f>
        <v>14</v>
      </c>
      <c r="C215" s="5">
        <f>IFERROR(__xludf.DUMMYFUNCTION("""COMPUTED_VALUE"""),2.0)</f>
        <v>2</v>
      </c>
      <c r="D215" s="5">
        <f>IFERROR(__xludf.DUMMYFUNCTION("""COMPUTED_VALUE"""),0.0)</f>
        <v>0</v>
      </c>
      <c r="E215" s="5">
        <f>IFERROR(__xludf.DUMMYFUNCTION("""COMPUTED_VALUE"""),440.0)</f>
        <v>440</v>
      </c>
      <c r="F215" s="5">
        <f>IFERROR(__xludf.DUMMYFUNCTION("""COMPUTED_VALUE"""),114.0)</f>
        <v>114</v>
      </c>
      <c r="G215" s="5">
        <f>IFERROR(__xludf.DUMMYFUNCTION("""COMPUTED_VALUE"""),326.0)</f>
        <v>326</v>
      </c>
      <c r="H215" s="5">
        <f>IFERROR(__xludf.DUMMYFUNCTION("""COMPUTED_VALUE"""),28.0)</f>
        <v>28</v>
      </c>
      <c r="I215" s="5">
        <f>IFERROR(__xludf.DUMMYFUNCTION("""COMPUTED_VALUE"""),3263.0)</f>
        <v>3263</v>
      </c>
      <c r="J215" s="5">
        <f>IFERROR(__xludf.DUMMYFUNCTION("""COMPUTED_VALUE"""),1656.0)</f>
        <v>1656</v>
      </c>
      <c r="K215" s="5">
        <f>IFERROR(__xludf.DUMMYFUNCTION("""COMPUTED_VALUE"""),1607.0)</f>
        <v>1607</v>
      </c>
      <c r="L215" s="5">
        <f>IFERROR(__xludf.DUMMYFUNCTION("""COMPUTED_VALUE"""),1.0)</f>
        <v>1</v>
      </c>
      <c r="M215" s="5">
        <f>IFERROR(__xludf.DUMMYFUNCTION("""COMPUTED_VALUE"""),2392.0)</f>
        <v>2392</v>
      </c>
      <c r="N215" s="5">
        <f>IFERROR(__xludf.DUMMYFUNCTION("""COMPUTED_VALUE"""),1494.0)</f>
        <v>1494</v>
      </c>
      <c r="O215" s="5">
        <f>IFERROR(__xludf.DUMMYFUNCTION("""COMPUTED_VALUE"""),898.0)</f>
        <v>898</v>
      </c>
      <c r="P215" s="23" t="str">
        <f>IFERROR(__xludf.DUMMYFUNCTION("""COMPUTED_VALUE"""),"AFC Divisional Playoff Loss to KC (Comp) 27-14")</f>
        <v>AFC Divisional Playoff Loss to KC (Comp) 27-14</v>
      </c>
      <c r="Q215" s="5">
        <f>IFERROR(__xludf.DUMMYFUNCTION("""COMPUTED_VALUE"""),0.0)</f>
        <v>0</v>
      </c>
      <c r="R215" s="5" t="str">
        <f>IFERROR(__xludf.DUMMYFUNCTION("""COMPUTED_VALUE"""),"PJ")</f>
        <v>PJ</v>
      </c>
      <c r="S215" s="5">
        <f>IFERROR(__xludf.DUMMYFUNCTION("""COMPUTED_VALUE"""),15.0)</f>
        <v>15</v>
      </c>
      <c r="T215" s="5">
        <f>IFERROR(__xludf.DUMMYFUNCTION("""COMPUTED_VALUE"""),2023.0)</f>
        <v>2023</v>
      </c>
      <c r="U215" s="5" t="str">
        <f>IFERROR(__xludf.DUMMYFUNCTION("""COMPUTED_VALUE"""),"No")</f>
        <v>No</v>
      </c>
      <c r="V215" s="5"/>
      <c r="W215" s="5"/>
      <c r="X215" s="5"/>
      <c r="Y215" s="5"/>
      <c r="Z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23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9" t="s">
        <v>556</v>
      </c>
      <c r="U217" s="5"/>
      <c r="V217" s="5"/>
      <c r="W217" s="5"/>
      <c r="X217" s="5"/>
      <c r="Y217" s="5"/>
      <c r="Z217" s="5"/>
    </row>
    <row r="218">
      <c r="A218" s="5" t="str">
        <f>IFERROR(__xludf.DUMMYFUNCTION("query(Team!A2:U96, ""select * where U = 'No' and R &lt;&gt; 'COMP' order by E desc limit 3"",1)"),"Team")</f>
        <v>Team</v>
      </c>
      <c r="B218" s="5" t="str">
        <f>IFERROR(__xludf.DUMMYFUNCTION("""COMPUTED_VALUE"""),"W")</f>
        <v>W</v>
      </c>
      <c r="C218" s="5" t="str">
        <f>IFERROR(__xludf.DUMMYFUNCTION("""COMPUTED_VALUE"""),"L")</f>
        <v>L</v>
      </c>
      <c r="D218" s="5" t="str">
        <f>IFERROR(__xludf.DUMMYFUNCTION("""COMPUTED_VALUE"""),"T")</f>
        <v>T</v>
      </c>
      <c r="E218" s="5" t="str">
        <f>IFERROR(__xludf.DUMMYFUNCTION("""COMPUTED_VALUE"""),"FOR")</f>
        <v>FOR</v>
      </c>
      <c r="F218" s="5" t="str">
        <f>IFERROR(__xludf.DUMMYFUNCTION("""COMPUTED_VALUE"""),"AGAINST")</f>
        <v>AGAINST</v>
      </c>
      <c r="G218" s="5" t="str">
        <f>IFERROR(__xludf.DUMMYFUNCTION("""COMPUTED_VALUE"""),"DIFF")</f>
        <v>DIFF</v>
      </c>
      <c r="H218" s="5" t="str">
        <f>IFERROR(__xludf.DUMMYFUNCTION("""COMPUTED_VALUE"""),"OFF RANK")</f>
        <v>OFF RANK</v>
      </c>
      <c r="I218" s="5" t="str">
        <f>IFERROR(__xludf.DUMMYFUNCTION("""COMPUTED_VALUE"""),"TOTAL OFF")</f>
        <v>TOTAL OFF</v>
      </c>
      <c r="J218" s="5" t="str">
        <f>IFERROR(__xludf.DUMMYFUNCTION("""COMPUTED_VALUE"""),"PASS OFF")</f>
        <v>PASS OFF</v>
      </c>
      <c r="K218" s="5" t="str">
        <f>IFERROR(__xludf.DUMMYFUNCTION("""COMPUTED_VALUE"""),"RUSH OFF")</f>
        <v>RUSH OFF</v>
      </c>
      <c r="L218" s="5" t="str">
        <f>IFERROR(__xludf.DUMMYFUNCTION("""COMPUTED_VALUE"""),"DEF RANK")</f>
        <v>DEF RANK</v>
      </c>
      <c r="M218" s="5" t="str">
        <f>IFERROR(__xludf.DUMMYFUNCTION("""COMPUTED_VALUE"""),"TOTAL DEF")</f>
        <v>TOTAL DEF</v>
      </c>
      <c r="N218" s="5" t="str">
        <f>IFERROR(__xludf.DUMMYFUNCTION("""COMPUTED_VALUE"""),"PASS DEF")</f>
        <v>PASS DEF</v>
      </c>
      <c r="O218" s="5" t="str">
        <f>IFERROR(__xludf.DUMMYFUNCTION("""COMPUTED_VALUE"""),"RUSH DEF")</f>
        <v>RUSH DEF</v>
      </c>
      <c r="P218" s="23" t="str">
        <f>IFERROR(__xludf.DUMMYFUNCTION("""COMPUTED_VALUE"""),"SEASON END")</f>
        <v>SEASON END</v>
      </c>
      <c r="Q218" s="5" t="str">
        <f>IFERROR(__xludf.DUMMYFUNCTION("""COMPUTED_VALUE"""),"SUPERBOWL")</f>
        <v>SUPERBOWL</v>
      </c>
      <c r="R218" s="5" t="str">
        <f>IFERROR(__xludf.DUMMYFUNCTION("""COMPUTED_VALUE"""),"User")</f>
        <v>User</v>
      </c>
      <c r="S218" s="5" t="str">
        <f>IFERROR(__xludf.DUMMYFUNCTION("""COMPUTED_VALUE"""),"Season")</f>
        <v>Season</v>
      </c>
      <c r="T218" s="5" t="str">
        <f>IFERROR(__xludf.DUMMYFUNCTION("""COMPUTED_VALUE"""),"Year")</f>
        <v>Year</v>
      </c>
      <c r="U218" s="5" t="str">
        <f>IFERROR(__xludf.DUMMYFUNCTION("""COMPUTED_VALUE"""),"Solo")</f>
        <v>Solo</v>
      </c>
      <c r="V218" s="5"/>
      <c r="W218" s="5"/>
      <c r="X218" s="5"/>
      <c r="Y218" s="5"/>
      <c r="Z218" s="5"/>
    </row>
    <row r="219">
      <c r="A219" s="5" t="str">
        <f>IFERROR(__xludf.DUMMYFUNCTION("""COMPUTED_VALUE"""),"GIA")</f>
        <v>GIA</v>
      </c>
      <c r="B219" s="5">
        <f>IFERROR(__xludf.DUMMYFUNCTION("""COMPUTED_VALUE"""),16.0)</f>
        <v>16</v>
      </c>
      <c r="C219" s="5">
        <f>IFERROR(__xludf.DUMMYFUNCTION("""COMPUTED_VALUE"""),0.0)</f>
        <v>0</v>
      </c>
      <c r="D219" s="5">
        <f>IFERROR(__xludf.DUMMYFUNCTION("""COMPUTED_VALUE"""),0.0)</f>
        <v>0</v>
      </c>
      <c r="E219" s="5">
        <f>IFERROR(__xludf.DUMMYFUNCTION("""COMPUTED_VALUE"""),821.0)</f>
        <v>821</v>
      </c>
      <c r="F219" s="5">
        <f>IFERROR(__xludf.DUMMYFUNCTION("""COMPUTED_VALUE"""),88.0)</f>
        <v>88</v>
      </c>
      <c r="G219" s="5">
        <f>IFERROR(__xludf.DUMMYFUNCTION("""COMPUTED_VALUE"""),733.0)</f>
        <v>733</v>
      </c>
      <c r="H219" s="5">
        <f>IFERROR(__xludf.DUMMYFUNCTION("""COMPUTED_VALUE"""),2.0)</f>
        <v>2</v>
      </c>
      <c r="I219" s="5">
        <f>IFERROR(__xludf.DUMMYFUNCTION("""COMPUTED_VALUE"""),5489.0)</f>
        <v>5489</v>
      </c>
      <c r="J219" s="5">
        <f>IFERROR(__xludf.DUMMYFUNCTION("""COMPUTED_VALUE"""),4696.0)</f>
        <v>4696</v>
      </c>
      <c r="K219" s="5">
        <f>IFERROR(__xludf.DUMMYFUNCTION("""COMPUTED_VALUE"""),793.0)</f>
        <v>793</v>
      </c>
      <c r="L219" s="5">
        <f>IFERROR(__xludf.DUMMYFUNCTION("""COMPUTED_VALUE"""),1.0)</f>
        <v>1</v>
      </c>
      <c r="M219" s="5">
        <f>IFERROR(__xludf.DUMMYFUNCTION("""COMPUTED_VALUE"""),2424.0)</f>
        <v>2424</v>
      </c>
      <c r="N219" s="5">
        <f>IFERROR(__xludf.DUMMYFUNCTION("""COMPUTED_VALUE"""),980.0)</f>
        <v>980</v>
      </c>
      <c r="O219" s="5">
        <f>IFERROR(__xludf.DUMMYFUNCTION("""COMPUTED_VALUE"""),1444.0)</f>
        <v>1444</v>
      </c>
      <c r="P219" s="23"/>
      <c r="Q219" s="5">
        <f>IFERROR(__xludf.DUMMYFUNCTION("""COMPUTED_VALUE"""),1.0)</f>
        <v>1</v>
      </c>
      <c r="R219" s="5" t="str">
        <f>IFERROR(__xludf.DUMMYFUNCTION("""COMPUTED_VALUE"""),"PJ")</f>
        <v>PJ</v>
      </c>
      <c r="S219" s="5">
        <f>IFERROR(__xludf.DUMMYFUNCTION("""COMPUTED_VALUE"""),5.0)</f>
        <v>5</v>
      </c>
      <c r="T219" s="5">
        <f>IFERROR(__xludf.DUMMYFUNCTION("""COMPUTED_VALUE"""),2010.0)</f>
        <v>2010</v>
      </c>
      <c r="U219" s="5" t="str">
        <f>IFERROR(__xludf.DUMMYFUNCTION("""COMPUTED_VALUE"""),"No")</f>
        <v>No</v>
      </c>
      <c r="V219" s="5"/>
      <c r="W219" s="5"/>
      <c r="X219" s="5"/>
      <c r="Y219" s="5"/>
      <c r="Z219" s="5"/>
    </row>
    <row r="220">
      <c r="A220" s="5" t="str">
        <f>IFERROR(__xludf.DUMMYFUNCTION("""COMPUTED_VALUE"""),"MIA")</f>
        <v>MIA</v>
      </c>
      <c r="B220" s="5">
        <f>IFERROR(__xludf.DUMMYFUNCTION("""COMPUTED_VALUE"""),16.0)</f>
        <v>16</v>
      </c>
      <c r="C220" s="5">
        <f>IFERROR(__xludf.DUMMYFUNCTION("""COMPUTED_VALUE"""),0.0)</f>
        <v>0</v>
      </c>
      <c r="D220" s="5">
        <f>IFERROR(__xludf.DUMMYFUNCTION("""COMPUTED_VALUE"""),0.0)</f>
        <v>0</v>
      </c>
      <c r="E220" s="5">
        <f>IFERROR(__xludf.DUMMYFUNCTION("""COMPUTED_VALUE"""),818.0)</f>
        <v>818</v>
      </c>
      <c r="F220" s="5">
        <f>IFERROR(__xludf.DUMMYFUNCTION("""COMPUTED_VALUE"""),235.0)</f>
        <v>235</v>
      </c>
      <c r="G220" s="5">
        <f>IFERROR(__xludf.DUMMYFUNCTION("""COMPUTED_VALUE"""),583.0)</f>
        <v>583</v>
      </c>
      <c r="H220" s="5">
        <f>IFERROR(__xludf.DUMMYFUNCTION("""COMPUTED_VALUE"""),1.0)</f>
        <v>1</v>
      </c>
      <c r="I220" s="5">
        <f>IFERROR(__xludf.DUMMYFUNCTION("""COMPUTED_VALUE"""),6846.0)</f>
        <v>6846</v>
      </c>
      <c r="J220" s="5">
        <f>IFERROR(__xludf.DUMMYFUNCTION("""COMPUTED_VALUE"""),6743.0)</f>
        <v>6743</v>
      </c>
      <c r="K220" s="5">
        <f>IFERROR(__xludf.DUMMYFUNCTION("""COMPUTED_VALUE"""),103.0)</f>
        <v>103</v>
      </c>
      <c r="L220" s="5">
        <f>IFERROR(__xludf.DUMMYFUNCTION("""COMPUTED_VALUE"""),3.0)</f>
        <v>3</v>
      </c>
      <c r="M220" s="5">
        <f>IFERROR(__xludf.DUMMYFUNCTION("""COMPUTED_VALUE"""),3580.0)</f>
        <v>3580</v>
      </c>
      <c r="N220" s="5">
        <f>IFERROR(__xludf.DUMMYFUNCTION("""COMPUTED_VALUE"""),1694.0)</f>
        <v>1694</v>
      </c>
      <c r="O220" s="5">
        <f>IFERROR(__xludf.DUMMYFUNCTION("""COMPUTED_VALUE"""),1886.0)</f>
        <v>1886</v>
      </c>
      <c r="P220" s="23"/>
      <c r="Q220" s="5">
        <f>IFERROR(__xludf.DUMMYFUNCTION("""COMPUTED_VALUE"""),0.0)</f>
        <v>0</v>
      </c>
      <c r="R220" s="5" t="str">
        <f>IFERROR(__xludf.DUMMYFUNCTION("""COMPUTED_VALUE"""),"CJ")</f>
        <v>CJ</v>
      </c>
      <c r="S220" s="5">
        <f>IFERROR(__xludf.DUMMYFUNCTION("""COMPUTED_VALUE"""),13.0)</f>
        <v>13</v>
      </c>
      <c r="T220" s="5">
        <f>IFERROR(__xludf.DUMMYFUNCTION("""COMPUTED_VALUE"""),2021.0)</f>
        <v>2021</v>
      </c>
      <c r="U220" s="5" t="str">
        <f>IFERROR(__xludf.DUMMYFUNCTION("""COMPUTED_VALUE"""),"No")</f>
        <v>No</v>
      </c>
      <c r="V220" s="5"/>
      <c r="W220" s="5"/>
      <c r="X220" s="5"/>
      <c r="Y220" s="5"/>
      <c r="Z220" s="5"/>
    </row>
    <row r="221">
      <c r="A221" s="5" t="str">
        <f>IFERROR(__xludf.DUMMYFUNCTION("""COMPUTED_VALUE"""),"RAI")</f>
        <v>RAI</v>
      </c>
      <c r="B221" s="5">
        <f>IFERROR(__xludf.DUMMYFUNCTION("""COMPUTED_VALUE"""),16.0)</f>
        <v>16</v>
      </c>
      <c r="C221" s="5">
        <f>IFERROR(__xludf.DUMMYFUNCTION("""COMPUTED_VALUE"""),0.0)</f>
        <v>0</v>
      </c>
      <c r="D221" s="5">
        <f>IFERROR(__xludf.DUMMYFUNCTION("""COMPUTED_VALUE"""),0.0)</f>
        <v>0</v>
      </c>
      <c r="E221" s="5">
        <f>IFERROR(__xludf.DUMMYFUNCTION("""COMPUTED_VALUE"""),777.0)</f>
        <v>777</v>
      </c>
      <c r="F221" s="5">
        <f>IFERROR(__xludf.DUMMYFUNCTION("""COMPUTED_VALUE"""),122.0)</f>
        <v>122</v>
      </c>
      <c r="G221" s="5">
        <f>IFERROR(__xludf.DUMMYFUNCTION("""COMPUTED_VALUE"""),655.0)</f>
        <v>655</v>
      </c>
      <c r="H221" s="5">
        <f>IFERROR(__xludf.DUMMYFUNCTION("""COMPUTED_VALUE"""),2.0)</f>
        <v>2</v>
      </c>
      <c r="I221" s="5">
        <f>IFERROR(__xludf.DUMMYFUNCTION("""COMPUTED_VALUE"""),5808.0)</f>
        <v>5808</v>
      </c>
      <c r="J221" s="5">
        <f>IFERROR(__xludf.DUMMYFUNCTION("""COMPUTED_VALUE"""),1217.0)</f>
        <v>1217</v>
      </c>
      <c r="K221" s="5">
        <f>IFERROR(__xludf.DUMMYFUNCTION("""COMPUTED_VALUE"""),4591.0)</f>
        <v>4591</v>
      </c>
      <c r="L221" s="5">
        <f>IFERROR(__xludf.DUMMYFUNCTION("""COMPUTED_VALUE"""),1.0)</f>
        <v>1</v>
      </c>
      <c r="M221" s="5">
        <f>IFERROR(__xludf.DUMMYFUNCTION("""COMPUTED_VALUE"""),2697.0)</f>
        <v>2697</v>
      </c>
      <c r="N221" s="5">
        <f>IFERROR(__xludf.DUMMYFUNCTION("""COMPUTED_VALUE"""),1818.0)</f>
        <v>1818</v>
      </c>
      <c r="O221" s="5">
        <f>IFERROR(__xludf.DUMMYFUNCTION("""COMPUTED_VALUE"""),879.0)</f>
        <v>879</v>
      </c>
      <c r="P221" s="23"/>
      <c r="Q221" s="5">
        <f>IFERROR(__xludf.DUMMYFUNCTION("""COMPUTED_VALUE"""),1.0)</f>
        <v>1</v>
      </c>
      <c r="R221" s="5" t="str">
        <f>IFERROR(__xludf.DUMMYFUNCTION("""COMPUTED_VALUE"""),"PJ")</f>
        <v>PJ</v>
      </c>
      <c r="S221" s="5">
        <f>IFERROR(__xludf.DUMMYFUNCTION("""COMPUTED_VALUE"""),13.0)</f>
        <v>13</v>
      </c>
      <c r="T221" s="5">
        <f>IFERROR(__xludf.DUMMYFUNCTION("""COMPUTED_VALUE"""),2021.0)</f>
        <v>2021</v>
      </c>
      <c r="U221" s="5" t="str">
        <f>IFERROR(__xludf.DUMMYFUNCTION("""COMPUTED_VALUE"""),"No")</f>
        <v>No</v>
      </c>
      <c r="V221" s="5"/>
      <c r="W221" s="5"/>
      <c r="X221" s="5"/>
      <c r="Y221" s="5"/>
      <c r="Z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23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9" t="s">
        <v>559</v>
      </c>
      <c r="U223" s="5"/>
      <c r="V223" s="5"/>
      <c r="W223" s="5"/>
      <c r="X223" s="5"/>
      <c r="Y223" s="5"/>
      <c r="Z223" s="5"/>
    </row>
    <row r="224">
      <c r="A224" s="5" t="str">
        <f>IFERROR(__xludf.DUMMYFUNCTION("query(Team!A2:U96, ""select * where U = 'No' and R &lt;&gt; 'COMP' order by F asc limit 3"",1)"),"Team")</f>
        <v>Team</v>
      </c>
      <c r="B224" s="5" t="str">
        <f>IFERROR(__xludf.DUMMYFUNCTION("""COMPUTED_VALUE"""),"W")</f>
        <v>W</v>
      </c>
      <c r="C224" s="5" t="str">
        <f>IFERROR(__xludf.DUMMYFUNCTION("""COMPUTED_VALUE"""),"L")</f>
        <v>L</v>
      </c>
      <c r="D224" s="5" t="str">
        <f>IFERROR(__xludf.DUMMYFUNCTION("""COMPUTED_VALUE"""),"T")</f>
        <v>T</v>
      </c>
      <c r="E224" s="5" t="str">
        <f>IFERROR(__xludf.DUMMYFUNCTION("""COMPUTED_VALUE"""),"FOR")</f>
        <v>FOR</v>
      </c>
      <c r="F224" s="5" t="str">
        <f>IFERROR(__xludf.DUMMYFUNCTION("""COMPUTED_VALUE"""),"AGAINST")</f>
        <v>AGAINST</v>
      </c>
      <c r="G224" s="5" t="str">
        <f>IFERROR(__xludf.DUMMYFUNCTION("""COMPUTED_VALUE"""),"DIFF")</f>
        <v>DIFF</v>
      </c>
      <c r="H224" s="5" t="str">
        <f>IFERROR(__xludf.DUMMYFUNCTION("""COMPUTED_VALUE"""),"OFF RANK")</f>
        <v>OFF RANK</v>
      </c>
      <c r="I224" s="5" t="str">
        <f>IFERROR(__xludf.DUMMYFUNCTION("""COMPUTED_VALUE"""),"TOTAL OFF")</f>
        <v>TOTAL OFF</v>
      </c>
      <c r="J224" s="5" t="str">
        <f>IFERROR(__xludf.DUMMYFUNCTION("""COMPUTED_VALUE"""),"PASS OFF")</f>
        <v>PASS OFF</v>
      </c>
      <c r="K224" s="5" t="str">
        <f>IFERROR(__xludf.DUMMYFUNCTION("""COMPUTED_VALUE"""),"RUSH OFF")</f>
        <v>RUSH OFF</v>
      </c>
      <c r="L224" s="5" t="str">
        <f>IFERROR(__xludf.DUMMYFUNCTION("""COMPUTED_VALUE"""),"DEF RANK")</f>
        <v>DEF RANK</v>
      </c>
      <c r="M224" s="5" t="str">
        <f>IFERROR(__xludf.DUMMYFUNCTION("""COMPUTED_VALUE"""),"TOTAL DEF")</f>
        <v>TOTAL DEF</v>
      </c>
      <c r="N224" s="5" t="str">
        <f>IFERROR(__xludf.DUMMYFUNCTION("""COMPUTED_VALUE"""),"PASS DEF")</f>
        <v>PASS DEF</v>
      </c>
      <c r="O224" s="5" t="str">
        <f>IFERROR(__xludf.DUMMYFUNCTION("""COMPUTED_VALUE"""),"RUSH DEF")</f>
        <v>RUSH DEF</v>
      </c>
      <c r="P224" s="23" t="str">
        <f>IFERROR(__xludf.DUMMYFUNCTION("""COMPUTED_VALUE"""),"SEASON END")</f>
        <v>SEASON END</v>
      </c>
      <c r="Q224" s="5" t="str">
        <f>IFERROR(__xludf.DUMMYFUNCTION("""COMPUTED_VALUE"""),"SUPERBOWL")</f>
        <v>SUPERBOWL</v>
      </c>
      <c r="R224" s="5" t="str">
        <f>IFERROR(__xludf.DUMMYFUNCTION("""COMPUTED_VALUE"""),"User")</f>
        <v>User</v>
      </c>
      <c r="S224" s="5" t="str">
        <f>IFERROR(__xludf.DUMMYFUNCTION("""COMPUTED_VALUE"""),"Season")</f>
        <v>Season</v>
      </c>
      <c r="T224" s="5" t="str">
        <f>IFERROR(__xludf.DUMMYFUNCTION("""COMPUTED_VALUE"""),"Year")</f>
        <v>Year</v>
      </c>
      <c r="U224" s="5" t="str">
        <f>IFERROR(__xludf.DUMMYFUNCTION("""COMPUTED_VALUE"""),"Solo")</f>
        <v>Solo</v>
      </c>
      <c r="V224" s="5"/>
      <c r="W224" s="5"/>
      <c r="X224" s="5"/>
      <c r="Y224" s="5"/>
      <c r="Z224" s="5"/>
    </row>
    <row r="225">
      <c r="A225" s="5" t="str">
        <f>IFERROR(__xludf.DUMMYFUNCTION("""COMPUTED_VALUE"""),"GIA")</f>
        <v>GIA</v>
      </c>
      <c r="B225" s="5">
        <f>IFERROR(__xludf.DUMMYFUNCTION("""COMPUTED_VALUE"""),16.0)</f>
        <v>16</v>
      </c>
      <c r="C225" s="5">
        <f>IFERROR(__xludf.DUMMYFUNCTION("""COMPUTED_VALUE"""),0.0)</f>
        <v>0</v>
      </c>
      <c r="D225" s="5">
        <f>IFERROR(__xludf.DUMMYFUNCTION("""COMPUTED_VALUE"""),0.0)</f>
        <v>0</v>
      </c>
      <c r="E225" s="5">
        <f>IFERROR(__xludf.DUMMYFUNCTION("""COMPUTED_VALUE"""),821.0)</f>
        <v>821</v>
      </c>
      <c r="F225" s="5">
        <f>IFERROR(__xludf.DUMMYFUNCTION("""COMPUTED_VALUE"""),88.0)</f>
        <v>88</v>
      </c>
      <c r="G225" s="5">
        <f>IFERROR(__xludf.DUMMYFUNCTION("""COMPUTED_VALUE"""),733.0)</f>
        <v>733</v>
      </c>
      <c r="H225" s="5">
        <f>IFERROR(__xludf.DUMMYFUNCTION("""COMPUTED_VALUE"""),2.0)</f>
        <v>2</v>
      </c>
      <c r="I225" s="5">
        <f>IFERROR(__xludf.DUMMYFUNCTION("""COMPUTED_VALUE"""),5489.0)</f>
        <v>5489</v>
      </c>
      <c r="J225" s="5">
        <f>IFERROR(__xludf.DUMMYFUNCTION("""COMPUTED_VALUE"""),4696.0)</f>
        <v>4696</v>
      </c>
      <c r="K225" s="5">
        <f>IFERROR(__xludf.DUMMYFUNCTION("""COMPUTED_VALUE"""),793.0)</f>
        <v>793</v>
      </c>
      <c r="L225" s="5">
        <f>IFERROR(__xludf.DUMMYFUNCTION("""COMPUTED_VALUE"""),1.0)</f>
        <v>1</v>
      </c>
      <c r="M225" s="5">
        <f>IFERROR(__xludf.DUMMYFUNCTION("""COMPUTED_VALUE"""),2424.0)</f>
        <v>2424</v>
      </c>
      <c r="N225" s="5">
        <f>IFERROR(__xludf.DUMMYFUNCTION("""COMPUTED_VALUE"""),980.0)</f>
        <v>980</v>
      </c>
      <c r="O225" s="5">
        <f>IFERROR(__xludf.DUMMYFUNCTION("""COMPUTED_VALUE"""),1444.0)</f>
        <v>1444</v>
      </c>
      <c r="P225" s="23"/>
      <c r="Q225" s="5">
        <f>IFERROR(__xludf.DUMMYFUNCTION("""COMPUTED_VALUE"""),1.0)</f>
        <v>1</v>
      </c>
      <c r="R225" s="5" t="str">
        <f>IFERROR(__xludf.DUMMYFUNCTION("""COMPUTED_VALUE"""),"PJ")</f>
        <v>PJ</v>
      </c>
      <c r="S225" s="5">
        <f>IFERROR(__xludf.DUMMYFUNCTION("""COMPUTED_VALUE"""),5.0)</f>
        <v>5</v>
      </c>
      <c r="T225" s="5">
        <f>IFERROR(__xludf.DUMMYFUNCTION("""COMPUTED_VALUE"""),2010.0)</f>
        <v>2010</v>
      </c>
      <c r="U225" s="5" t="str">
        <f>IFERROR(__xludf.DUMMYFUNCTION("""COMPUTED_VALUE"""),"No")</f>
        <v>No</v>
      </c>
      <c r="V225" s="5"/>
      <c r="W225" s="5"/>
      <c r="X225" s="5"/>
      <c r="Y225" s="5"/>
      <c r="Z225" s="5"/>
    </row>
    <row r="226">
      <c r="A226" s="5" t="str">
        <f>IFERROR(__xludf.DUMMYFUNCTION("""COMPUTED_VALUE"""),"BUF")</f>
        <v>BUF</v>
      </c>
      <c r="B226" s="5">
        <f>IFERROR(__xludf.DUMMYFUNCTION("""COMPUTED_VALUE"""),16.0)</f>
        <v>16</v>
      </c>
      <c r="C226" s="5">
        <f>IFERROR(__xludf.DUMMYFUNCTION("""COMPUTED_VALUE"""),0.0)</f>
        <v>0</v>
      </c>
      <c r="D226" s="5">
        <f>IFERROR(__xludf.DUMMYFUNCTION("""COMPUTED_VALUE"""),0.0)</f>
        <v>0</v>
      </c>
      <c r="E226" s="5">
        <f>IFERROR(__xludf.DUMMYFUNCTION("""COMPUTED_VALUE"""),595.0)</f>
        <v>595</v>
      </c>
      <c r="F226" s="5">
        <f>IFERROR(__xludf.DUMMYFUNCTION("""COMPUTED_VALUE"""),94.0)</f>
        <v>94</v>
      </c>
      <c r="G226" s="5">
        <f>IFERROR(__xludf.DUMMYFUNCTION("""COMPUTED_VALUE"""),501.0)</f>
        <v>501</v>
      </c>
      <c r="H226" s="5">
        <f>IFERROR(__xludf.DUMMYFUNCTION("""COMPUTED_VALUE"""),6.0)</f>
        <v>6</v>
      </c>
      <c r="I226" s="5">
        <f>IFERROR(__xludf.DUMMYFUNCTION("""COMPUTED_VALUE"""),4673.0)</f>
        <v>4673</v>
      </c>
      <c r="J226" s="5">
        <f>IFERROR(__xludf.DUMMYFUNCTION("""COMPUTED_VALUE"""),2519.0)</f>
        <v>2519</v>
      </c>
      <c r="K226" s="5">
        <f>IFERROR(__xludf.DUMMYFUNCTION("""COMPUTED_VALUE"""),2154.0)</f>
        <v>2154</v>
      </c>
      <c r="L226" s="5">
        <f>IFERROR(__xludf.DUMMYFUNCTION("""COMPUTED_VALUE"""),1.0)</f>
        <v>1</v>
      </c>
      <c r="M226" s="5">
        <f>IFERROR(__xludf.DUMMYFUNCTION("""COMPUTED_VALUE"""),2298.0)</f>
        <v>2298</v>
      </c>
      <c r="N226" s="5">
        <f>IFERROR(__xludf.DUMMYFUNCTION("""COMPUTED_VALUE"""),1422.0)</f>
        <v>1422</v>
      </c>
      <c r="O226" s="5">
        <f>IFERROR(__xludf.DUMMYFUNCTION("""COMPUTED_VALUE"""),876.0)</f>
        <v>876</v>
      </c>
      <c r="P226" s="23" t="str">
        <f>IFERROR(__xludf.DUMMYFUNCTION("""COMPUTED_VALUE"""),"SB Victory Over SF (COMP) 30 - 9")</f>
        <v>SB Victory Over SF (COMP) 30 - 9</v>
      </c>
      <c r="Q226" s="5">
        <f>IFERROR(__xludf.DUMMYFUNCTION("""COMPUTED_VALUE"""),1.0)</f>
        <v>1</v>
      </c>
      <c r="R226" s="5" t="str">
        <f>IFERROR(__xludf.DUMMYFUNCTION("""COMPUTED_VALUE"""),"PJ")</f>
        <v>PJ</v>
      </c>
      <c r="S226" s="5">
        <f>IFERROR(__xludf.DUMMYFUNCTION("""COMPUTED_VALUE"""),16.0)</f>
        <v>16</v>
      </c>
      <c r="T226" s="5">
        <f>IFERROR(__xludf.DUMMYFUNCTION("""COMPUTED_VALUE"""),2024.0)</f>
        <v>2024</v>
      </c>
      <c r="U226" s="5" t="str">
        <f>IFERROR(__xludf.DUMMYFUNCTION("""COMPUTED_VALUE"""),"No")</f>
        <v>No</v>
      </c>
      <c r="V226" s="5"/>
      <c r="W226" s="5"/>
      <c r="X226" s="5"/>
      <c r="Y226" s="5"/>
      <c r="Z226" s="5"/>
    </row>
    <row r="227">
      <c r="A227" s="5" t="str">
        <f>IFERROR(__xludf.DUMMYFUNCTION("""COMPUTED_VALUE"""),"PIT")</f>
        <v>PIT</v>
      </c>
      <c r="B227" s="5">
        <f>IFERROR(__xludf.DUMMYFUNCTION("""COMPUTED_VALUE"""),14.0)</f>
        <v>14</v>
      </c>
      <c r="C227" s="5">
        <f>IFERROR(__xludf.DUMMYFUNCTION("""COMPUTED_VALUE"""),2.0)</f>
        <v>2</v>
      </c>
      <c r="D227" s="5">
        <f>IFERROR(__xludf.DUMMYFUNCTION("""COMPUTED_VALUE"""),0.0)</f>
        <v>0</v>
      </c>
      <c r="E227" s="5">
        <f>IFERROR(__xludf.DUMMYFUNCTION("""COMPUTED_VALUE"""),440.0)</f>
        <v>440</v>
      </c>
      <c r="F227" s="5">
        <f>IFERROR(__xludf.DUMMYFUNCTION("""COMPUTED_VALUE"""),114.0)</f>
        <v>114</v>
      </c>
      <c r="G227" s="5">
        <f>IFERROR(__xludf.DUMMYFUNCTION("""COMPUTED_VALUE"""),326.0)</f>
        <v>326</v>
      </c>
      <c r="H227" s="5">
        <f>IFERROR(__xludf.DUMMYFUNCTION("""COMPUTED_VALUE"""),28.0)</f>
        <v>28</v>
      </c>
      <c r="I227" s="5">
        <f>IFERROR(__xludf.DUMMYFUNCTION("""COMPUTED_VALUE"""),3263.0)</f>
        <v>3263</v>
      </c>
      <c r="J227" s="5">
        <f>IFERROR(__xludf.DUMMYFUNCTION("""COMPUTED_VALUE"""),1656.0)</f>
        <v>1656</v>
      </c>
      <c r="K227" s="5">
        <f>IFERROR(__xludf.DUMMYFUNCTION("""COMPUTED_VALUE"""),1607.0)</f>
        <v>1607</v>
      </c>
      <c r="L227" s="5">
        <f>IFERROR(__xludf.DUMMYFUNCTION("""COMPUTED_VALUE"""),1.0)</f>
        <v>1</v>
      </c>
      <c r="M227" s="5">
        <f>IFERROR(__xludf.DUMMYFUNCTION("""COMPUTED_VALUE"""),2392.0)</f>
        <v>2392</v>
      </c>
      <c r="N227" s="5">
        <f>IFERROR(__xludf.DUMMYFUNCTION("""COMPUTED_VALUE"""),1494.0)</f>
        <v>1494</v>
      </c>
      <c r="O227" s="5">
        <f>IFERROR(__xludf.DUMMYFUNCTION("""COMPUTED_VALUE"""),898.0)</f>
        <v>898</v>
      </c>
      <c r="P227" s="23" t="str">
        <f>IFERROR(__xludf.DUMMYFUNCTION("""COMPUTED_VALUE"""),"AFC Divisional Playoff Loss to KC (Comp) 27-14")</f>
        <v>AFC Divisional Playoff Loss to KC (Comp) 27-14</v>
      </c>
      <c r="Q227" s="5">
        <f>IFERROR(__xludf.DUMMYFUNCTION("""COMPUTED_VALUE"""),0.0)</f>
        <v>0</v>
      </c>
      <c r="R227" s="5" t="str">
        <f>IFERROR(__xludf.DUMMYFUNCTION("""COMPUTED_VALUE"""),"PJ")</f>
        <v>PJ</v>
      </c>
      <c r="S227" s="5">
        <f>IFERROR(__xludf.DUMMYFUNCTION("""COMPUTED_VALUE"""),15.0)</f>
        <v>15</v>
      </c>
      <c r="T227" s="5">
        <f>IFERROR(__xludf.DUMMYFUNCTION("""COMPUTED_VALUE"""),2023.0)</f>
        <v>2023</v>
      </c>
      <c r="U227" s="5" t="str">
        <f>IFERROR(__xludf.DUMMYFUNCTION("""COMPUTED_VALUE"""),"No")</f>
        <v>No</v>
      </c>
      <c r="V227" s="5"/>
      <c r="W227" s="5"/>
      <c r="X227" s="5"/>
      <c r="Y227" s="5"/>
      <c r="Z227" s="5"/>
    </row>
    <row r="228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42"/>
      <c r="Q228" s="9"/>
      <c r="R228" s="9"/>
      <c r="S228" s="9"/>
      <c r="T228" s="9"/>
      <c r="U228" s="5"/>
      <c r="V228" s="5"/>
      <c r="W228" s="5"/>
      <c r="X228" s="5"/>
      <c r="Y228" s="5"/>
      <c r="Z228" s="5"/>
    </row>
    <row r="229">
      <c r="A229" s="9" t="s">
        <v>586</v>
      </c>
      <c r="U229" s="5"/>
      <c r="V229" s="5"/>
      <c r="W229" s="5"/>
      <c r="X229" s="5"/>
      <c r="Y229" s="5"/>
      <c r="Z229" s="5"/>
    </row>
    <row r="230">
      <c r="A230" s="5" t="str">
        <f>IFERROR(__xludf.DUMMYFUNCTION("query(Team!A2:U96, ""select * where U = 'No' and R &lt;&gt; 'COMP' order by G desc limit 3"",1)"),"Team")</f>
        <v>Team</v>
      </c>
      <c r="B230" s="5" t="str">
        <f>IFERROR(__xludf.DUMMYFUNCTION("""COMPUTED_VALUE"""),"W")</f>
        <v>W</v>
      </c>
      <c r="C230" s="5" t="str">
        <f>IFERROR(__xludf.DUMMYFUNCTION("""COMPUTED_VALUE"""),"L")</f>
        <v>L</v>
      </c>
      <c r="D230" s="5" t="str">
        <f>IFERROR(__xludf.DUMMYFUNCTION("""COMPUTED_VALUE"""),"T")</f>
        <v>T</v>
      </c>
      <c r="E230" s="5" t="str">
        <f>IFERROR(__xludf.DUMMYFUNCTION("""COMPUTED_VALUE"""),"FOR")</f>
        <v>FOR</v>
      </c>
      <c r="F230" s="5" t="str">
        <f>IFERROR(__xludf.DUMMYFUNCTION("""COMPUTED_VALUE"""),"AGAINST")</f>
        <v>AGAINST</v>
      </c>
      <c r="G230" s="5" t="str">
        <f>IFERROR(__xludf.DUMMYFUNCTION("""COMPUTED_VALUE"""),"DIFF")</f>
        <v>DIFF</v>
      </c>
      <c r="H230" s="5" t="str">
        <f>IFERROR(__xludf.DUMMYFUNCTION("""COMPUTED_VALUE"""),"OFF RANK")</f>
        <v>OFF RANK</v>
      </c>
      <c r="I230" s="5" t="str">
        <f>IFERROR(__xludf.DUMMYFUNCTION("""COMPUTED_VALUE"""),"TOTAL OFF")</f>
        <v>TOTAL OFF</v>
      </c>
      <c r="J230" s="5" t="str">
        <f>IFERROR(__xludf.DUMMYFUNCTION("""COMPUTED_VALUE"""),"PASS OFF")</f>
        <v>PASS OFF</v>
      </c>
      <c r="K230" s="5" t="str">
        <f>IFERROR(__xludf.DUMMYFUNCTION("""COMPUTED_VALUE"""),"RUSH OFF")</f>
        <v>RUSH OFF</v>
      </c>
      <c r="L230" s="5" t="str">
        <f>IFERROR(__xludf.DUMMYFUNCTION("""COMPUTED_VALUE"""),"DEF RANK")</f>
        <v>DEF RANK</v>
      </c>
      <c r="M230" s="5" t="str">
        <f>IFERROR(__xludf.DUMMYFUNCTION("""COMPUTED_VALUE"""),"TOTAL DEF")</f>
        <v>TOTAL DEF</v>
      </c>
      <c r="N230" s="5" t="str">
        <f>IFERROR(__xludf.DUMMYFUNCTION("""COMPUTED_VALUE"""),"PASS DEF")</f>
        <v>PASS DEF</v>
      </c>
      <c r="O230" s="5" t="str">
        <f>IFERROR(__xludf.DUMMYFUNCTION("""COMPUTED_VALUE"""),"RUSH DEF")</f>
        <v>RUSH DEF</v>
      </c>
      <c r="P230" s="23" t="str">
        <f>IFERROR(__xludf.DUMMYFUNCTION("""COMPUTED_VALUE"""),"SEASON END")</f>
        <v>SEASON END</v>
      </c>
      <c r="Q230" s="5" t="str">
        <f>IFERROR(__xludf.DUMMYFUNCTION("""COMPUTED_VALUE"""),"SUPERBOWL")</f>
        <v>SUPERBOWL</v>
      </c>
      <c r="R230" s="5" t="str">
        <f>IFERROR(__xludf.DUMMYFUNCTION("""COMPUTED_VALUE"""),"User")</f>
        <v>User</v>
      </c>
      <c r="S230" s="5" t="str">
        <f>IFERROR(__xludf.DUMMYFUNCTION("""COMPUTED_VALUE"""),"Season")</f>
        <v>Season</v>
      </c>
      <c r="T230" s="5" t="str">
        <f>IFERROR(__xludf.DUMMYFUNCTION("""COMPUTED_VALUE"""),"Year")</f>
        <v>Year</v>
      </c>
      <c r="U230" s="5" t="str">
        <f>IFERROR(__xludf.DUMMYFUNCTION("""COMPUTED_VALUE"""),"Solo")</f>
        <v>Solo</v>
      </c>
      <c r="V230" s="5"/>
      <c r="W230" s="5"/>
      <c r="X230" s="5"/>
      <c r="Y230" s="5"/>
      <c r="Z230" s="5"/>
    </row>
    <row r="231">
      <c r="A231" s="5" t="str">
        <f>IFERROR(__xludf.DUMMYFUNCTION("""COMPUTED_VALUE"""),"GIA")</f>
        <v>GIA</v>
      </c>
      <c r="B231" s="5">
        <f>IFERROR(__xludf.DUMMYFUNCTION("""COMPUTED_VALUE"""),16.0)</f>
        <v>16</v>
      </c>
      <c r="C231" s="5">
        <f>IFERROR(__xludf.DUMMYFUNCTION("""COMPUTED_VALUE"""),0.0)</f>
        <v>0</v>
      </c>
      <c r="D231" s="5">
        <f>IFERROR(__xludf.DUMMYFUNCTION("""COMPUTED_VALUE"""),0.0)</f>
        <v>0</v>
      </c>
      <c r="E231" s="5">
        <f>IFERROR(__xludf.DUMMYFUNCTION("""COMPUTED_VALUE"""),821.0)</f>
        <v>821</v>
      </c>
      <c r="F231" s="5">
        <f>IFERROR(__xludf.DUMMYFUNCTION("""COMPUTED_VALUE"""),88.0)</f>
        <v>88</v>
      </c>
      <c r="G231" s="5">
        <f>IFERROR(__xludf.DUMMYFUNCTION("""COMPUTED_VALUE"""),733.0)</f>
        <v>733</v>
      </c>
      <c r="H231" s="5">
        <f>IFERROR(__xludf.DUMMYFUNCTION("""COMPUTED_VALUE"""),2.0)</f>
        <v>2</v>
      </c>
      <c r="I231" s="5">
        <f>IFERROR(__xludf.DUMMYFUNCTION("""COMPUTED_VALUE"""),5489.0)</f>
        <v>5489</v>
      </c>
      <c r="J231" s="5">
        <f>IFERROR(__xludf.DUMMYFUNCTION("""COMPUTED_VALUE"""),4696.0)</f>
        <v>4696</v>
      </c>
      <c r="K231" s="5">
        <f>IFERROR(__xludf.DUMMYFUNCTION("""COMPUTED_VALUE"""),793.0)</f>
        <v>793</v>
      </c>
      <c r="L231" s="5">
        <f>IFERROR(__xludf.DUMMYFUNCTION("""COMPUTED_VALUE"""),1.0)</f>
        <v>1</v>
      </c>
      <c r="M231" s="5">
        <f>IFERROR(__xludf.DUMMYFUNCTION("""COMPUTED_VALUE"""),2424.0)</f>
        <v>2424</v>
      </c>
      <c r="N231" s="5">
        <f>IFERROR(__xludf.DUMMYFUNCTION("""COMPUTED_VALUE"""),980.0)</f>
        <v>980</v>
      </c>
      <c r="O231" s="5">
        <f>IFERROR(__xludf.DUMMYFUNCTION("""COMPUTED_VALUE"""),1444.0)</f>
        <v>1444</v>
      </c>
      <c r="P231" s="23"/>
      <c r="Q231" s="5">
        <f>IFERROR(__xludf.DUMMYFUNCTION("""COMPUTED_VALUE"""),1.0)</f>
        <v>1</v>
      </c>
      <c r="R231" s="5" t="str">
        <f>IFERROR(__xludf.DUMMYFUNCTION("""COMPUTED_VALUE"""),"PJ")</f>
        <v>PJ</v>
      </c>
      <c r="S231" s="5">
        <f>IFERROR(__xludf.DUMMYFUNCTION("""COMPUTED_VALUE"""),5.0)</f>
        <v>5</v>
      </c>
      <c r="T231" s="5">
        <f>IFERROR(__xludf.DUMMYFUNCTION("""COMPUTED_VALUE"""),2010.0)</f>
        <v>2010</v>
      </c>
      <c r="U231" s="5" t="str">
        <f>IFERROR(__xludf.DUMMYFUNCTION("""COMPUTED_VALUE"""),"No")</f>
        <v>No</v>
      </c>
      <c r="V231" s="5"/>
      <c r="W231" s="5"/>
      <c r="X231" s="5"/>
      <c r="Y231" s="5"/>
      <c r="Z231" s="5"/>
    </row>
    <row r="232">
      <c r="A232" s="5" t="str">
        <f>IFERROR(__xludf.DUMMYFUNCTION("""COMPUTED_VALUE"""),"RAI")</f>
        <v>RAI</v>
      </c>
      <c r="B232" s="5">
        <f>IFERROR(__xludf.DUMMYFUNCTION("""COMPUTED_VALUE"""),16.0)</f>
        <v>16</v>
      </c>
      <c r="C232" s="5">
        <f>IFERROR(__xludf.DUMMYFUNCTION("""COMPUTED_VALUE"""),0.0)</f>
        <v>0</v>
      </c>
      <c r="D232" s="5">
        <f>IFERROR(__xludf.DUMMYFUNCTION("""COMPUTED_VALUE"""),0.0)</f>
        <v>0</v>
      </c>
      <c r="E232" s="5">
        <f>IFERROR(__xludf.DUMMYFUNCTION("""COMPUTED_VALUE"""),777.0)</f>
        <v>777</v>
      </c>
      <c r="F232" s="5">
        <f>IFERROR(__xludf.DUMMYFUNCTION("""COMPUTED_VALUE"""),122.0)</f>
        <v>122</v>
      </c>
      <c r="G232" s="5">
        <f>IFERROR(__xludf.DUMMYFUNCTION("""COMPUTED_VALUE"""),655.0)</f>
        <v>655</v>
      </c>
      <c r="H232" s="5">
        <f>IFERROR(__xludf.DUMMYFUNCTION("""COMPUTED_VALUE"""),2.0)</f>
        <v>2</v>
      </c>
      <c r="I232" s="5">
        <f>IFERROR(__xludf.DUMMYFUNCTION("""COMPUTED_VALUE"""),5808.0)</f>
        <v>5808</v>
      </c>
      <c r="J232" s="5">
        <f>IFERROR(__xludf.DUMMYFUNCTION("""COMPUTED_VALUE"""),1217.0)</f>
        <v>1217</v>
      </c>
      <c r="K232" s="5">
        <f>IFERROR(__xludf.DUMMYFUNCTION("""COMPUTED_VALUE"""),4591.0)</f>
        <v>4591</v>
      </c>
      <c r="L232" s="5">
        <f>IFERROR(__xludf.DUMMYFUNCTION("""COMPUTED_VALUE"""),1.0)</f>
        <v>1</v>
      </c>
      <c r="M232" s="5">
        <f>IFERROR(__xludf.DUMMYFUNCTION("""COMPUTED_VALUE"""),2697.0)</f>
        <v>2697</v>
      </c>
      <c r="N232" s="5">
        <f>IFERROR(__xludf.DUMMYFUNCTION("""COMPUTED_VALUE"""),1818.0)</f>
        <v>1818</v>
      </c>
      <c r="O232" s="5">
        <f>IFERROR(__xludf.DUMMYFUNCTION("""COMPUTED_VALUE"""),879.0)</f>
        <v>879</v>
      </c>
      <c r="P232" s="23"/>
      <c r="Q232" s="5">
        <f>IFERROR(__xludf.DUMMYFUNCTION("""COMPUTED_VALUE"""),1.0)</f>
        <v>1</v>
      </c>
      <c r="R232" s="5" t="str">
        <f>IFERROR(__xludf.DUMMYFUNCTION("""COMPUTED_VALUE"""),"PJ")</f>
        <v>PJ</v>
      </c>
      <c r="S232" s="5">
        <f>IFERROR(__xludf.DUMMYFUNCTION("""COMPUTED_VALUE"""),13.0)</f>
        <v>13</v>
      </c>
      <c r="T232" s="5">
        <f>IFERROR(__xludf.DUMMYFUNCTION("""COMPUTED_VALUE"""),2021.0)</f>
        <v>2021</v>
      </c>
      <c r="U232" s="5" t="str">
        <f>IFERROR(__xludf.DUMMYFUNCTION("""COMPUTED_VALUE"""),"No")</f>
        <v>No</v>
      </c>
      <c r="V232" s="5"/>
      <c r="W232" s="5"/>
      <c r="X232" s="5"/>
      <c r="Y232" s="5"/>
      <c r="Z232" s="5"/>
    </row>
    <row r="233">
      <c r="A233" s="5" t="str">
        <f>IFERROR(__xludf.DUMMYFUNCTION("""COMPUTED_VALUE"""),"GIA")</f>
        <v>GIA</v>
      </c>
      <c r="B233" s="5">
        <f>IFERROR(__xludf.DUMMYFUNCTION("""COMPUTED_VALUE"""),16.0)</f>
        <v>16</v>
      </c>
      <c r="C233" s="5">
        <f>IFERROR(__xludf.DUMMYFUNCTION("""COMPUTED_VALUE"""),0.0)</f>
        <v>0</v>
      </c>
      <c r="D233" s="5">
        <f>IFERROR(__xludf.DUMMYFUNCTION("""COMPUTED_VALUE"""),0.0)</f>
        <v>0</v>
      </c>
      <c r="E233" s="5">
        <f>IFERROR(__xludf.DUMMYFUNCTION("""COMPUTED_VALUE"""),748.0)</f>
        <v>748</v>
      </c>
      <c r="F233" s="5">
        <f>IFERROR(__xludf.DUMMYFUNCTION("""COMPUTED_VALUE"""),132.0)</f>
        <v>132</v>
      </c>
      <c r="G233" s="5">
        <f>IFERROR(__xludf.DUMMYFUNCTION("""COMPUTED_VALUE"""),616.0)</f>
        <v>616</v>
      </c>
      <c r="H233" s="5">
        <f>IFERROR(__xludf.DUMMYFUNCTION("""COMPUTED_VALUE"""),1.0)</f>
        <v>1</v>
      </c>
      <c r="I233" s="5">
        <f>IFERROR(__xludf.DUMMYFUNCTION("""COMPUTED_VALUE"""),5908.0)</f>
        <v>5908</v>
      </c>
      <c r="J233" s="5">
        <f>IFERROR(__xludf.DUMMYFUNCTION("""COMPUTED_VALUE"""),4969.0)</f>
        <v>4969</v>
      </c>
      <c r="K233" s="5">
        <f>IFERROR(__xludf.DUMMYFUNCTION("""COMPUTED_VALUE"""),939.0)</f>
        <v>939</v>
      </c>
      <c r="L233" s="5">
        <f>IFERROR(__xludf.DUMMYFUNCTION("""COMPUTED_VALUE"""),1.0)</f>
        <v>1</v>
      </c>
      <c r="M233" s="5">
        <f>IFERROR(__xludf.DUMMYFUNCTION("""COMPUTED_VALUE"""),2604.0)</f>
        <v>2604</v>
      </c>
      <c r="N233" s="5">
        <f>IFERROR(__xludf.DUMMYFUNCTION("""COMPUTED_VALUE"""),1530.0)</f>
        <v>1530</v>
      </c>
      <c r="O233" s="5">
        <f>IFERROR(__xludf.DUMMYFUNCTION("""COMPUTED_VALUE"""),1074.0)</f>
        <v>1074</v>
      </c>
      <c r="P233" s="23"/>
      <c r="Q233" s="5">
        <f>IFERROR(__xludf.DUMMYFUNCTION("""COMPUTED_VALUE"""),1.0)</f>
        <v>1</v>
      </c>
      <c r="R233" s="5" t="str">
        <f>IFERROR(__xludf.DUMMYFUNCTION("""COMPUTED_VALUE"""),"PJ")</f>
        <v>PJ</v>
      </c>
      <c r="S233" s="5">
        <f>IFERROR(__xludf.DUMMYFUNCTION("""COMPUTED_VALUE"""),7.0)</f>
        <v>7</v>
      </c>
      <c r="T233" s="5">
        <f>IFERROR(__xludf.DUMMYFUNCTION("""COMPUTED_VALUE"""),2017.0)</f>
        <v>2017</v>
      </c>
      <c r="U233" s="5" t="str">
        <f>IFERROR(__xludf.DUMMYFUNCTION("""COMPUTED_VALUE"""),"No")</f>
        <v>No</v>
      </c>
      <c r="V233" s="5"/>
      <c r="W233" s="5"/>
      <c r="X233" s="5"/>
      <c r="Y233" s="5"/>
      <c r="Z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23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23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23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23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23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23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23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23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23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23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23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23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23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23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23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23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23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23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23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23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23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23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23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23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23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23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23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23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23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23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23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23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23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23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23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23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23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23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23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23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23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23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23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23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23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23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23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23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23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23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23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23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23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23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23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23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23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23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23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23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23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23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23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23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23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23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23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23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23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23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23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23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23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23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23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23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23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23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23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23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23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23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23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23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23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23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23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23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23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23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23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23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23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23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23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23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23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23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23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23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23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23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23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23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23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23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23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23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23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23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23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23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23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23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23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23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23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23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23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23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23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23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23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23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23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23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23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23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23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23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23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23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23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23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23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23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23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23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23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23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23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23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23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23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23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23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23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23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23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23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23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23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23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23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23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23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23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23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23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23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23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23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23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23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23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23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23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23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23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23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23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23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23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23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23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23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23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23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23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23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23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23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23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23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23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23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23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23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23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23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23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23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23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23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23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23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23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23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23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23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23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23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23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23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23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23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23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23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23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23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23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23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23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23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23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23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23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23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23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23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23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23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23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23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23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23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23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23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23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23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23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23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23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23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23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23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23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23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23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23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23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23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23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23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23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23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23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23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23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23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23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23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23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23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23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23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23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23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23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23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23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23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23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23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23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23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23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23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23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23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23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23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23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23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23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23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23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23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23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23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23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23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23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23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23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23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23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23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23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23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23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23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23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23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23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23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23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23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23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23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23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23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23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23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23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23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23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23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23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23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23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23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23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23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23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23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23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23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23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23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23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23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23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23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23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23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23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23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23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23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23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23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23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23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23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23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23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23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23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23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23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23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23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23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23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23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23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23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23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23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23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23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23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23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23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23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23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23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23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23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23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23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23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23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23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23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23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23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23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23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23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23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23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23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23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23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23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23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23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23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23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23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23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23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23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23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23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23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23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23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23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23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23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23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23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23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23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23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23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23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23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23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23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23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23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23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23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23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23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23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23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23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23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23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23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23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23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23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23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23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23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23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23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23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23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23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23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23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23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23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23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23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23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23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23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23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23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23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23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23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23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23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23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23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23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23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23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23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23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23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23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23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23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23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23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23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23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23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23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23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23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23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23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23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23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23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23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23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23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23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23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23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23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23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23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23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23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23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23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23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23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23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23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23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23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23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23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23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23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23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23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23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23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23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23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23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23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23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23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23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23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23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23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23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23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23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23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23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23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23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23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23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23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23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23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23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23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23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23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23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23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23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23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23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23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23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23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23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23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23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23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23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23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23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23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23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23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23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23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23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23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23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23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23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23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23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23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23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23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23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23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23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23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23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23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23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23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23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23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23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23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23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23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23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23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23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23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23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23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23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23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23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23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23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23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23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23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23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23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23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23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23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23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23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23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23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23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23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23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23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23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23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23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23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23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23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23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23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23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23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23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23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23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23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23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23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23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23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23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23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23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23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23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23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23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23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23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23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23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23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23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23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23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23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23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23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23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23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23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23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23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23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23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23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23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23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23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23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23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23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23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23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23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23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23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23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23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23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23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23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23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23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23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23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23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23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23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23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23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23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23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23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23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23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23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23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23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23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23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23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23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23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23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23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23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23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23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23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23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23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23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23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23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23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23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23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23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23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23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23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23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23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23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23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23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23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23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23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23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23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23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23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23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23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23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23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23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23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23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23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23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23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23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23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23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23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23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23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23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23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23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23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23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23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23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23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23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23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23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23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23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23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23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23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23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23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23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23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23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23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23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23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23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23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23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23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23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23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23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23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23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23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23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23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23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23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23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23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23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23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23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23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23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23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23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23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23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  <row r="100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23"/>
      <c r="Q1001" s="5"/>
      <c r="R1001" s="5"/>
      <c r="S1001" s="5"/>
      <c r="T1001" s="5"/>
      <c r="U1001" s="5"/>
      <c r="V1001" s="5"/>
      <c r="W1001" s="5"/>
      <c r="X1001" s="5"/>
      <c r="Y1001" s="5"/>
      <c r="Z1001" s="5"/>
    </row>
    <row r="1002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23"/>
      <c r="Q1002" s="5"/>
      <c r="R1002" s="5"/>
      <c r="S1002" s="5"/>
      <c r="T1002" s="5"/>
      <c r="U1002" s="5"/>
      <c r="V1002" s="5"/>
      <c r="W1002" s="5"/>
      <c r="X1002" s="5"/>
      <c r="Y1002" s="5"/>
      <c r="Z1002" s="5"/>
    </row>
    <row r="1003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23"/>
      <c r="Q1003" s="5"/>
      <c r="R1003" s="5"/>
      <c r="S1003" s="5"/>
      <c r="T1003" s="5"/>
      <c r="U1003" s="5"/>
      <c r="V1003" s="5"/>
      <c r="W1003" s="5"/>
      <c r="X1003" s="5"/>
      <c r="Y1003" s="5"/>
      <c r="Z1003" s="5"/>
    </row>
    <row r="1004">
      <c r="A1004" s="5"/>
      <c r="B1004" s="5"/>
      <c r="C1004" s="5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23"/>
      <c r="Q1004" s="5"/>
      <c r="R1004" s="5"/>
      <c r="S1004" s="5"/>
      <c r="T1004" s="5"/>
      <c r="U1004" s="5"/>
      <c r="V1004" s="5"/>
      <c r="W1004" s="5"/>
      <c r="X1004" s="5"/>
      <c r="Y1004" s="5"/>
      <c r="Z1004" s="5"/>
    </row>
    <row r="1005">
      <c r="A1005" s="5"/>
      <c r="B1005" s="5"/>
      <c r="C1005" s="5"/>
      <c r="D1005" s="5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23"/>
      <c r="Q1005" s="5"/>
      <c r="R1005" s="5"/>
      <c r="S1005" s="5"/>
      <c r="T1005" s="5"/>
      <c r="U1005" s="5"/>
      <c r="V1005" s="5"/>
      <c r="W1005" s="5"/>
      <c r="X1005" s="5"/>
      <c r="Y1005" s="5"/>
      <c r="Z1005" s="5"/>
    </row>
    <row r="1006">
      <c r="A1006" s="5"/>
      <c r="B1006" s="5"/>
      <c r="C1006" s="5"/>
      <c r="D1006" s="5"/>
      <c r="E1006" s="5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23"/>
      <c r="Q1006" s="5"/>
      <c r="R1006" s="5"/>
      <c r="S1006" s="5"/>
      <c r="T1006" s="5"/>
      <c r="U1006" s="5"/>
      <c r="V1006" s="5"/>
      <c r="W1006" s="5"/>
      <c r="X1006" s="5"/>
      <c r="Y1006" s="5"/>
      <c r="Z1006" s="5"/>
    </row>
    <row r="1007">
      <c r="A1007" s="5"/>
      <c r="B1007" s="5"/>
      <c r="C1007" s="5"/>
      <c r="D1007" s="5"/>
      <c r="E1007" s="5"/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23"/>
      <c r="Q1007" s="5"/>
      <c r="R1007" s="5"/>
      <c r="S1007" s="5"/>
      <c r="T1007" s="5"/>
      <c r="U1007" s="5"/>
      <c r="V1007" s="5"/>
      <c r="W1007" s="5"/>
      <c r="X1007" s="5"/>
      <c r="Y1007" s="5"/>
      <c r="Z1007" s="5"/>
    </row>
    <row r="1008">
      <c r="A1008" s="5"/>
      <c r="B1008" s="5"/>
      <c r="C1008" s="5"/>
      <c r="D1008" s="5"/>
      <c r="E1008" s="5"/>
      <c r="F1008" s="5"/>
      <c r="G1008" s="5"/>
      <c r="H1008" s="5"/>
      <c r="I1008" s="5"/>
      <c r="J1008" s="5"/>
      <c r="K1008" s="5"/>
      <c r="L1008" s="5"/>
      <c r="M1008" s="5"/>
      <c r="N1008" s="5"/>
      <c r="O1008" s="5"/>
      <c r="P1008" s="23"/>
      <c r="Q1008" s="5"/>
      <c r="R1008" s="5"/>
      <c r="S1008" s="5"/>
      <c r="T1008" s="5"/>
      <c r="U1008" s="5"/>
      <c r="V1008" s="5"/>
      <c r="W1008" s="5"/>
      <c r="X1008" s="5"/>
      <c r="Y1008" s="5"/>
      <c r="Z1008" s="5"/>
    </row>
    <row r="1009">
      <c r="A1009" s="5"/>
      <c r="B1009" s="5"/>
      <c r="C1009" s="5"/>
      <c r="D1009" s="5"/>
      <c r="E1009" s="5"/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23"/>
      <c r="Q1009" s="5"/>
      <c r="R1009" s="5"/>
      <c r="S1009" s="5"/>
      <c r="T1009" s="5"/>
      <c r="U1009" s="5"/>
      <c r="V1009" s="5"/>
      <c r="W1009" s="5"/>
      <c r="X1009" s="5"/>
      <c r="Y1009" s="5"/>
      <c r="Z1009" s="5"/>
    </row>
    <row r="1010">
      <c r="A1010" s="5"/>
      <c r="B1010" s="5"/>
      <c r="C1010" s="5"/>
      <c r="D1010" s="5"/>
      <c r="E1010" s="5"/>
      <c r="F1010" s="5"/>
      <c r="G1010" s="5"/>
      <c r="H1010" s="5"/>
      <c r="I1010" s="5"/>
      <c r="J1010" s="5"/>
      <c r="K1010" s="5"/>
      <c r="L1010" s="5"/>
      <c r="M1010" s="5"/>
      <c r="N1010" s="5"/>
      <c r="O1010" s="5"/>
      <c r="P1010" s="23"/>
      <c r="Q1010" s="5"/>
      <c r="R1010" s="5"/>
      <c r="S1010" s="5"/>
      <c r="T1010" s="5"/>
      <c r="U1010" s="5"/>
      <c r="V1010" s="5"/>
      <c r="W1010" s="5"/>
      <c r="X1010" s="5"/>
      <c r="Y1010" s="5"/>
      <c r="Z1010" s="5"/>
    </row>
    <row r="1011">
      <c r="A1011" s="5"/>
      <c r="B1011" s="5"/>
      <c r="C1011" s="5"/>
      <c r="D1011" s="5"/>
      <c r="E1011" s="5"/>
      <c r="F1011" s="5"/>
      <c r="G1011" s="5"/>
      <c r="H1011" s="5"/>
      <c r="I1011" s="5"/>
      <c r="J1011" s="5"/>
      <c r="K1011" s="5"/>
      <c r="L1011" s="5"/>
      <c r="M1011" s="5"/>
      <c r="N1011" s="5"/>
      <c r="O1011" s="5"/>
      <c r="P1011" s="23"/>
      <c r="Q1011" s="5"/>
      <c r="R1011" s="5"/>
      <c r="S1011" s="5"/>
      <c r="T1011" s="5"/>
      <c r="U1011" s="5"/>
      <c r="V1011" s="5"/>
      <c r="W1011" s="5"/>
      <c r="X1011" s="5"/>
      <c r="Y1011" s="5"/>
      <c r="Z1011" s="5"/>
    </row>
    <row r="1012">
      <c r="A1012" s="5"/>
      <c r="B1012" s="5"/>
      <c r="C1012" s="5"/>
      <c r="D1012" s="5"/>
      <c r="E1012" s="5"/>
      <c r="F1012" s="5"/>
      <c r="G1012" s="5"/>
      <c r="H1012" s="5"/>
      <c r="I1012" s="5"/>
      <c r="J1012" s="5"/>
      <c r="K1012" s="5"/>
      <c r="L1012" s="5"/>
      <c r="M1012" s="5"/>
      <c r="N1012" s="5"/>
      <c r="O1012" s="5"/>
      <c r="P1012" s="23"/>
      <c r="Q1012" s="5"/>
      <c r="R1012" s="5"/>
      <c r="S1012" s="5"/>
      <c r="T1012" s="5"/>
      <c r="U1012" s="5"/>
      <c r="V1012" s="5"/>
      <c r="W1012" s="5"/>
      <c r="X1012" s="5"/>
      <c r="Y1012" s="5"/>
      <c r="Z1012" s="5"/>
    </row>
    <row r="1013">
      <c r="A1013" s="5"/>
      <c r="B1013" s="5"/>
      <c r="C1013" s="5"/>
      <c r="D1013" s="5"/>
      <c r="E1013" s="5"/>
      <c r="F1013" s="5"/>
      <c r="G1013" s="5"/>
      <c r="H1013" s="5"/>
      <c r="I1013" s="5"/>
      <c r="J1013" s="5"/>
      <c r="K1013" s="5"/>
      <c r="L1013" s="5"/>
      <c r="M1013" s="5"/>
      <c r="N1013" s="5"/>
      <c r="O1013" s="5"/>
      <c r="P1013" s="23"/>
      <c r="Q1013" s="5"/>
      <c r="R1013" s="5"/>
      <c r="S1013" s="5"/>
      <c r="T1013" s="5"/>
      <c r="U1013" s="5"/>
      <c r="V1013" s="5"/>
      <c r="W1013" s="5"/>
      <c r="X1013" s="5"/>
      <c r="Y1013" s="5"/>
      <c r="Z1013" s="5"/>
    </row>
    <row r="1014">
      <c r="A1014" s="5"/>
      <c r="B1014" s="5"/>
      <c r="C1014" s="5"/>
      <c r="D1014" s="5"/>
      <c r="E1014" s="5"/>
      <c r="F1014" s="5"/>
      <c r="G1014" s="5"/>
      <c r="H1014" s="5"/>
      <c r="I1014" s="5"/>
      <c r="J1014" s="5"/>
      <c r="K1014" s="5"/>
      <c r="L1014" s="5"/>
      <c r="M1014" s="5"/>
      <c r="N1014" s="5"/>
      <c r="O1014" s="5"/>
      <c r="P1014" s="23"/>
      <c r="Q1014" s="5"/>
      <c r="R1014" s="5"/>
      <c r="S1014" s="5"/>
      <c r="T1014" s="5"/>
      <c r="U1014" s="5"/>
      <c r="V1014" s="5"/>
      <c r="W1014" s="5"/>
      <c r="X1014" s="5"/>
      <c r="Y1014" s="5"/>
      <c r="Z1014" s="5"/>
    </row>
    <row r="1015">
      <c r="A1015" s="5"/>
      <c r="B1015" s="5"/>
      <c r="C1015" s="5"/>
      <c r="D1015" s="5"/>
      <c r="E1015" s="5"/>
      <c r="F1015" s="5"/>
      <c r="G1015" s="5"/>
      <c r="H1015" s="5"/>
      <c r="I1015" s="5"/>
      <c r="J1015" s="5"/>
      <c r="K1015" s="5"/>
      <c r="L1015" s="5"/>
      <c r="M1015" s="5"/>
      <c r="N1015" s="5"/>
      <c r="O1015" s="5"/>
      <c r="P1015" s="23"/>
      <c r="Q1015" s="5"/>
      <c r="R1015" s="5"/>
      <c r="S1015" s="5"/>
      <c r="T1015" s="5"/>
      <c r="U1015" s="5"/>
      <c r="V1015" s="5"/>
      <c r="W1015" s="5"/>
      <c r="X1015" s="5"/>
      <c r="Y1015" s="5"/>
      <c r="Z1015" s="5"/>
    </row>
    <row r="1016">
      <c r="A1016" s="5"/>
      <c r="B1016" s="5"/>
      <c r="C1016" s="5"/>
      <c r="D1016" s="5"/>
      <c r="E1016" s="5"/>
      <c r="F1016" s="5"/>
      <c r="G1016" s="5"/>
      <c r="H1016" s="5"/>
      <c r="I1016" s="5"/>
      <c r="J1016" s="5"/>
      <c r="K1016" s="5"/>
      <c r="L1016" s="5"/>
      <c r="M1016" s="5"/>
      <c r="N1016" s="5"/>
      <c r="O1016" s="5"/>
      <c r="P1016" s="23"/>
      <c r="Q1016" s="5"/>
      <c r="R1016" s="5"/>
      <c r="S1016" s="5"/>
      <c r="T1016" s="5"/>
      <c r="U1016" s="5"/>
      <c r="V1016" s="5"/>
      <c r="W1016" s="5"/>
      <c r="X1016" s="5"/>
      <c r="Y1016" s="5"/>
      <c r="Z1016" s="5"/>
    </row>
    <row r="1017">
      <c r="A1017" s="5"/>
      <c r="B1017" s="5"/>
      <c r="C1017" s="5"/>
      <c r="D1017" s="5"/>
      <c r="E1017" s="5"/>
      <c r="F1017" s="5"/>
      <c r="G1017" s="5"/>
      <c r="H1017" s="5"/>
      <c r="I1017" s="5"/>
      <c r="J1017" s="5"/>
      <c r="K1017" s="5"/>
      <c r="L1017" s="5"/>
      <c r="M1017" s="5"/>
      <c r="N1017" s="5"/>
      <c r="O1017" s="5"/>
      <c r="P1017" s="23"/>
      <c r="Q1017" s="5"/>
      <c r="R1017" s="5"/>
      <c r="S1017" s="5"/>
      <c r="T1017" s="5"/>
      <c r="U1017" s="5"/>
      <c r="V1017" s="5"/>
      <c r="W1017" s="5"/>
      <c r="X1017" s="5"/>
      <c r="Y1017" s="5"/>
      <c r="Z1017" s="5"/>
    </row>
    <row r="1018">
      <c r="A1018" s="5"/>
      <c r="B1018" s="5"/>
      <c r="C1018" s="5"/>
      <c r="D1018" s="5"/>
      <c r="E1018" s="5"/>
      <c r="F1018" s="5"/>
      <c r="G1018" s="5"/>
      <c r="H1018" s="5"/>
      <c r="I1018" s="5"/>
      <c r="J1018" s="5"/>
      <c r="K1018" s="5"/>
      <c r="L1018" s="5"/>
      <c r="M1018" s="5"/>
      <c r="N1018" s="5"/>
      <c r="O1018" s="5"/>
      <c r="P1018" s="23"/>
      <c r="Q1018" s="5"/>
      <c r="R1018" s="5"/>
      <c r="S1018" s="5"/>
      <c r="T1018" s="5"/>
      <c r="U1018" s="5"/>
      <c r="V1018" s="5"/>
      <c r="W1018" s="5"/>
      <c r="X1018" s="5"/>
      <c r="Y1018" s="5"/>
      <c r="Z1018" s="5"/>
    </row>
    <row r="1019">
      <c r="A1019" s="5"/>
      <c r="B1019" s="5"/>
      <c r="C1019" s="5"/>
      <c r="D1019" s="5"/>
      <c r="E1019" s="5"/>
      <c r="F1019" s="5"/>
      <c r="G1019" s="5"/>
      <c r="H1019" s="5"/>
      <c r="I1019" s="5"/>
      <c r="J1019" s="5"/>
      <c r="K1019" s="5"/>
      <c r="L1019" s="5"/>
      <c r="M1019" s="5"/>
      <c r="N1019" s="5"/>
      <c r="O1019" s="5"/>
      <c r="P1019" s="23"/>
      <c r="Q1019" s="5"/>
      <c r="R1019" s="5"/>
      <c r="S1019" s="5"/>
      <c r="T1019" s="5"/>
      <c r="U1019" s="5"/>
      <c r="V1019" s="5"/>
      <c r="W1019" s="5"/>
      <c r="X1019" s="5"/>
      <c r="Y1019" s="5"/>
      <c r="Z1019" s="5"/>
    </row>
    <row r="1020">
      <c r="A1020" s="5"/>
      <c r="B1020" s="5"/>
      <c r="C1020" s="5"/>
      <c r="D1020" s="5"/>
      <c r="E1020" s="5"/>
      <c r="F1020" s="5"/>
      <c r="G1020" s="5"/>
      <c r="H1020" s="5"/>
      <c r="I1020" s="5"/>
      <c r="J1020" s="5"/>
      <c r="K1020" s="5"/>
      <c r="L1020" s="5"/>
      <c r="M1020" s="5"/>
      <c r="N1020" s="5"/>
      <c r="O1020" s="5"/>
      <c r="P1020" s="23"/>
      <c r="Q1020" s="5"/>
      <c r="R1020" s="5"/>
      <c r="S1020" s="5"/>
      <c r="T1020" s="5"/>
      <c r="U1020" s="5"/>
      <c r="V1020" s="5"/>
      <c r="W1020" s="5"/>
      <c r="X1020" s="5"/>
      <c r="Y1020" s="5"/>
      <c r="Z1020" s="5"/>
    </row>
    <row r="1021">
      <c r="A1021" s="5"/>
      <c r="B1021" s="5"/>
      <c r="C1021" s="5"/>
      <c r="D1021" s="5"/>
      <c r="E1021" s="5"/>
      <c r="F1021" s="5"/>
      <c r="G1021" s="5"/>
      <c r="H1021" s="5"/>
      <c r="I1021" s="5"/>
      <c r="J1021" s="5"/>
      <c r="K1021" s="5"/>
      <c r="L1021" s="5"/>
      <c r="M1021" s="5"/>
      <c r="N1021" s="5"/>
      <c r="O1021" s="5"/>
      <c r="P1021" s="23"/>
      <c r="Q1021" s="5"/>
      <c r="R1021" s="5"/>
      <c r="S1021" s="5"/>
      <c r="T1021" s="5"/>
      <c r="U1021" s="5"/>
      <c r="V1021" s="5"/>
      <c r="W1021" s="5"/>
      <c r="X1021" s="5"/>
      <c r="Y1021" s="5"/>
      <c r="Z1021" s="5"/>
    </row>
    <row r="1022">
      <c r="A1022" s="5"/>
      <c r="B1022" s="5"/>
      <c r="C1022" s="5"/>
      <c r="D1022" s="5"/>
      <c r="E1022" s="5"/>
      <c r="F1022" s="5"/>
      <c r="G1022" s="5"/>
      <c r="H1022" s="5"/>
      <c r="I1022" s="5"/>
      <c r="J1022" s="5"/>
      <c r="K1022" s="5"/>
      <c r="L1022" s="5"/>
      <c r="M1022" s="5"/>
      <c r="N1022" s="5"/>
      <c r="O1022" s="5"/>
      <c r="P1022" s="23"/>
      <c r="Q1022" s="5"/>
      <c r="R1022" s="5"/>
      <c r="S1022" s="5"/>
      <c r="T1022" s="5"/>
      <c r="U1022" s="5"/>
      <c r="V1022" s="5"/>
      <c r="W1022" s="5"/>
      <c r="X1022" s="5"/>
      <c r="Y1022" s="5"/>
      <c r="Z1022" s="5"/>
    </row>
    <row r="1023">
      <c r="A1023" s="5"/>
      <c r="B1023" s="5"/>
      <c r="C1023" s="5"/>
      <c r="D1023" s="5"/>
      <c r="E1023" s="5"/>
      <c r="F1023" s="5"/>
      <c r="G1023" s="5"/>
      <c r="H1023" s="5"/>
      <c r="I1023" s="5"/>
      <c r="J1023" s="5"/>
      <c r="K1023" s="5"/>
      <c r="L1023" s="5"/>
      <c r="M1023" s="5"/>
      <c r="N1023" s="5"/>
      <c r="O1023" s="5"/>
      <c r="P1023" s="23"/>
      <c r="Q1023" s="5"/>
      <c r="R1023" s="5"/>
      <c r="S1023" s="5"/>
      <c r="T1023" s="5"/>
      <c r="U1023" s="5"/>
      <c r="V1023" s="5"/>
      <c r="W1023" s="5"/>
      <c r="X1023" s="5"/>
      <c r="Y1023" s="5"/>
      <c r="Z1023" s="5"/>
    </row>
    <row r="1024">
      <c r="A1024" s="5"/>
      <c r="B1024" s="5"/>
      <c r="C1024" s="5"/>
      <c r="D1024" s="5"/>
      <c r="E1024" s="5"/>
      <c r="F1024" s="5"/>
      <c r="G1024" s="5"/>
      <c r="H1024" s="5"/>
      <c r="I1024" s="5"/>
      <c r="J1024" s="5"/>
      <c r="K1024" s="5"/>
      <c r="L1024" s="5"/>
      <c r="M1024" s="5"/>
      <c r="N1024" s="5"/>
      <c r="O1024" s="5"/>
      <c r="P1024" s="23"/>
      <c r="Q1024" s="5"/>
      <c r="R1024" s="5"/>
      <c r="S1024" s="5"/>
      <c r="T1024" s="5"/>
      <c r="U1024" s="5"/>
      <c r="V1024" s="5"/>
      <c r="W1024" s="5"/>
      <c r="X1024" s="5"/>
      <c r="Y1024" s="5"/>
      <c r="Z1024" s="5"/>
    </row>
    <row r="1025">
      <c r="A1025" s="5"/>
      <c r="B1025" s="5"/>
      <c r="C1025" s="5"/>
      <c r="D1025" s="5"/>
      <c r="E1025" s="5"/>
      <c r="F1025" s="5"/>
      <c r="G1025" s="5"/>
      <c r="H1025" s="5"/>
      <c r="I1025" s="5"/>
      <c r="J1025" s="5"/>
      <c r="K1025" s="5"/>
      <c r="L1025" s="5"/>
      <c r="M1025" s="5"/>
      <c r="N1025" s="5"/>
      <c r="O1025" s="5"/>
      <c r="P1025" s="23"/>
      <c r="Q1025" s="5"/>
      <c r="R1025" s="5"/>
      <c r="S1025" s="5"/>
      <c r="T1025" s="5"/>
      <c r="U1025" s="5"/>
      <c r="V1025" s="5"/>
      <c r="W1025" s="5"/>
      <c r="X1025" s="5"/>
      <c r="Y1025" s="5"/>
      <c r="Z1025" s="5"/>
    </row>
    <row r="1026">
      <c r="A1026" s="5"/>
      <c r="B1026" s="5"/>
      <c r="C1026" s="5"/>
      <c r="D1026" s="5"/>
      <c r="E1026" s="5"/>
      <c r="F1026" s="5"/>
      <c r="G1026" s="5"/>
      <c r="H1026" s="5"/>
      <c r="I1026" s="5"/>
      <c r="J1026" s="5"/>
      <c r="K1026" s="5"/>
      <c r="L1026" s="5"/>
      <c r="M1026" s="5"/>
      <c r="N1026" s="5"/>
      <c r="O1026" s="5"/>
      <c r="P1026" s="23"/>
      <c r="Q1026" s="5"/>
      <c r="R1026" s="5"/>
      <c r="S1026" s="5"/>
      <c r="T1026" s="5"/>
      <c r="U1026" s="5"/>
      <c r="V1026" s="5"/>
      <c r="W1026" s="5"/>
      <c r="X1026" s="5"/>
      <c r="Y1026" s="5"/>
      <c r="Z1026" s="5"/>
    </row>
    <row r="1027">
      <c r="A1027" s="5"/>
      <c r="B1027" s="5"/>
      <c r="C1027" s="5"/>
      <c r="D1027" s="5"/>
      <c r="E1027" s="5"/>
      <c r="F1027" s="5"/>
      <c r="G1027" s="5"/>
      <c r="H1027" s="5"/>
      <c r="I1027" s="5"/>
      <c r="J1027" s="5"/>
      <c r="K1027" s="5"/>
      <c r="L1027" s="5"/>
      <c r="M1027" s="5"/>
      <c r="N1027" s="5"/>
      <c r="O1027" s="5"/>
      <c r="P1027" s="23"/>
      <c r="Q1027" s="5"/>
      <c r="R1027" s="5"/>
      <c r="S1027" s="5"/>
      <c r="T1027" s="5"/>
      <c r="U1027" s="5"/>
      <c r="V1027" s="5"/>
      <c r="W1027" s="5"/>
      <c r="X1027" s="5"/>
      <c r="Y1027" s="5"/>
      <c r="Z1027" s="5"/>
    </row>
    <row r="1028">
      <c r="A1028" s="5"/>
      <c r="B1028" s="5"/>
      <c r="C1028" s="5"/>
      <c r="D1028" s="5"/>
      <c r="E1028" s="5"/>
      <c r="F1028" s="5"/>
      <c r="G1028" s="5"/>
      <c r="H1028" s="5"/>
      <c r="I1028" s="5"/>
      <c r="J1028" s="5"/>
      <c r="K1028" s="5"/>
      <c r="L1028" s="5"/>
      <c r="M1028" s="5"/>
      <c r="N1028" s="5"/>
      <c r="O1028" s="5"/>
      <c r="P1028" s="23"/>
      <c r="Q1028" s="5"/>
      <c r="R1028" s="5"/>
      <c r="S1028" s="5"/>
      <c r="T1028" s="5"/>
      <c r="U1028" s="5"/>
      <c r="V1028" s="5"/>
      <c r="W1028" s="5"/>
      <c r="X1028" s="5"/>
      <c r="Y1028" s="5"/>
      <c r="Z1028" s="5"/>
    </row>
    <row r="1029">
      <c r="A1029" s="5"/>
      <c r="B1029" s="5"/>
      <c r="C1029" s="5"/>
      <c r="D1029" s="5"/>
      <c r="E1029" s="5"/>
      <c r="F1029" s="5"/>
      <c r="G1029" s="5"/>
      <c r="H1029" s="5"/>
      <c r="I1029" s="5"/>
      <c r="J1029" s="5"/>
      <c r="K1029" s="5"/>
      <c r="L1029" s="5"/>
      <c r="M1029" s="5"/>
      <c r="N1029" s="5"/>
      <c r="O1029" s="5"/>
      <c r="P1029" s="23"/>
      <c r="Q1029" s="5"/>
      <c r="R1029" s="5"/>
      <c r="S1029" s="5"/>
      <c r="T1029" s="5"/>
      <c r="U1029" s="5"/>
      <c r="V1029" s="5"/>
      <c r="W1029" s="5"/>
      <c r="X1029" s="5"/>
      <c r="Y1029" s="5"/>
      <c r="Z1029" s="5"/>
    </row>
    <row r="1030">
      <c r="A1030" s="5"/>
      <c r="B1030" s="5"/>
      <c r="C1030" s="5"/>
      <c r="D1030" s="5"/>
      <c r="E1030" s="5"/>
      <c r="F1030" s="5"/>
      <c r="G1030" s="5"/>
      <c r="H1030" s="5"/>
      <c r="I1030" s="5"/>
      <c r="J1030" s="5"/>
      <c r="K1030" s="5"/>
      <c r="L1030" s="5"/>
      <c r="M1030" s="5"/>
      <c r="N1030" s="5"/>
      <c r="O1030" s="5"/>
      <c r="P1030" s="23"/>
      <c r="Q1030" s="5"/>
      <c r="R1030" s="5"/>
      <c r="S1030" s="5"/>
      <c r="T1030" s="5"/>
      <c r="U1030" s="5"/>
      <c r="V1030" s="5"/>
      <c r="W1030" s="5"/>
      <c r="X1030" s="5"/>
      <c r="Y1030" s="5"/>
      <c r="Z1030" s="5"/>
    </row>
    <row r="1031">
      <c r="A1031" s="5"/>
      <c r="B1031" s="5"/>
      <c r="C1031" s="5"/>
      <c r="D1031" s="5"/>
      <c r="E1031" s="5"/>
      <c r="F1031" s="5"/>
      <c r="G1031" s="5"/>
      <c r="H1031" s="5"/>
      <c r="I1031" s="5"/>
      <c r="J1031" s="5"/>
      <c r="K1031" s="5"/>
      <c r="L1031" s="5"/>
      <c r="M1031" s="5"/>
      <c r="N1031" s="5"/>
      <c r="O1031" s="5"/>
      <c r="P1031" s="23"/>
      <c r="Q1031" s="5"/>
      <c r="R1031" s="5"/>
      <c r="S1031" s="5"/>
      <c r="T1031" s="5"/>
      <c r="U1031" s="5"/>
      <c r="V1031" s="5"/>
      <c r="W1031" s="5"/>
      <c r="X1031" s="5"/>
      <c r="Y1031" s="5"/>
      <c r="Z1031" s="5"/>
    </row>
    <row r="1032">
      <c r="A1032" s="5"/>
      <c r="B1032" s="5"/>
      <c r="C1032" s="5"/>
      <c r="D1032" s="5"/>
      <c r="E1032" s="5"/>
      <c r="F1032" s="5"/>
      <c r="G1032" s="5"/>
      <c r="H1032" s="5"/>
      <c r="I1032" s="5"/>
      <c r="J1032" s="5"/>
      <c r="K1032" s="5"/>
      <c r="L1032" s="5"/>
      <c r="M1032" s="5"/>
      <c r="N1032" s="5"/>
      <c r="O1032" s="5"/>
      <c r="P1032" s="23"/>
      <c r="Q1032" s="5"/>
      <c r="R1032" s="5"/>
      <c r="S1032" s="5"/>
      <c r="T1032" s="5"/>
      <c r="U1032" s="5"/>
      <c r="V1032" s="5"/>
      <c r="W1032" s="5"/>
      <c r="X1032" s="5"/>
      <c r="Y1032" s="5"/>
      <c r="Z1032" s="5"/>
    </row>
    <row r="1033">
      <c r="A1033" s="5"/>
      <c r="B1033" s="5"/>
      <c r="C1033" s="5"/>
      <c r="D1033" s="5"/>
      <c r="E1033" s="5"/>
      <c r="F1033" s="5"/>
      <c r="G1033" s="5"/>
      <c r="H1033" s="5"/>
      <c r="I1033" s="5"/>
      <c r="J1033" s="5"/>
      <c r="K1033" s="5"/>
      <c r="L1033" s="5"/>
      <c r="M1033" s="5"/>
      <c r="N1033" s="5"/>
      <c r="O1033" s="5"/>
      <c r="P1033" s="23"/>
      <c r="Q1033" s="5"/>
      <c r="R1033" s="5"/>
      <c r="S1033" s="5"/>
      <c r="T1033" s="5"/>
      <c r="U1033" s="5"/>
      <c r="V1033" s="5"/>
      <c r="W1033" s="5"/>
      <c r="X1033" s="5"/>
      <c r="Y1033" s="5"/>
      <c r="Z1033" s="5"/>
    </row>
    <row r="1034">
      <c r="A1034" s="5"/>
      <c r="B1034" s="5"/>
      <c r="C1034" s="5"/>
      <c r="D1034" s="5"/>
      <c r="E1034" s="5"/>
      <c r="F1034" s="5"/>
      <c r="G1034" s="5"/>
      <c r="H1034" s="5"/>
      <c r="I1034" s="5"/>
      <c r="J1034" s="5"/>
      <c r="K1034" s="5"/>
      <c r="L1034" s="5"/>
      <c r="M1034" s="5"/>
      <c r="N1034" s="5"/>
      <c r="O1034" s="5"/>
      <c r="P1034" s="23"/>
      <c r="Q1034" s="5"/>
      <c r="R1034" s="5"/>
      <c r="S1034" s="5"/>
      <c r="T1034" s="5"/>
      <c r="U1034" s="5"/>
      <c r="V1034" s="5"/>
      <c r="W1034" s="5"/>
      <c r="X1034" s="5"/>
      <c r="Y1034" s="5"/>
      <c r="Z1034" s="5"/>
    </row>
    <row r="1035">
      <c r="A1035" s="5"/>
      <c r="B1035" s="5"/>
      <c r="C1035" s="5"/>
      <c r="D1035" s="5"/>
      <c r="E1035" s="5"/>
      <c r="F1035" s="5"/>
      <c r="G1035" s="5"/>
      <c r="H1035" s="5"/>
      <c r="I1035" s="5"/>
      <c r="J1035" s="5"/>
      <c r="K1035" s="5"/>
      <c r="L1035" s="5"/>
      <c r="M1035" s="5"/>
      <c r="N1035" s="5"/>
      <c r="O1035" s="5"/>
      <c r="P1035" s="23"/>
      <c r="Q1035" s="5"/>
      <c r="R1035" s="5"/>
      <c r="S1035" s="5"/>
      <c r="T1035" s="5"/>
      <c r="U1035" s="5"/>
      <c r="V1035" s="5"/>
      <c r="W1035" s="5"/>
      <c r="X1035" s="5"/>
      <c r="Y1035" s="5"/>
      <c r="Z1035" s="5"/>
    </row>
    <row r="1036">
      <c r="A1036" s="5"/>
      <c r="B1036" s="5"/>
      <c r="C1036" s="5"/>
      <c r="D1036" s="5"/>
      <c r="E1036" s="5"/>
      <c r="F1036" s="5"/>
      <c r="G1036" s="5"/>
      <c r="H1036" s="5"/>
      <c r="I1036" s="5"/>
      <c r="J1036" s="5"/>
      <c r="K1036" s="5"/>
      <c r="L1036" s="5"/>
      <c r="M1036" s="5"/>
      <c r="N1036" s="5"/>
      <c r="O1036" s="5"/>
      <c r="P1036" s="23"/>
      <c r="Q1036" s="5"/>
      <c r="R1036" s="5"/>
      <c r="S1036" s="5"/>
      <c r="T1036" s="5"/>
      <c r="U1036" s="5"/>
      <c r="V1036" s="5"/>
      <c r="W1036" s="5"/>
      <c r="X1036" s="5"/>
      <c r="Y1036" s="5"/>
      <c r="Z1036" s="5"/>
    </row>
    <row r="1037">
      <c r="A1037" s="5"/>
      <c r="B1037" s="5"/>
      <c r="C1037" s="5"/>
      <c r="D1037" s="5"/>
      <c r="E1037" s="5"/>
      <c r="F1037" s="5"/>
      <c r="G1037" s="5"/>
      <c r="H1037" s="5"/>
      <c r="I1037" s="5"/>
      <c r="J1037" s="5"/>
      <c r="K1037" s="5"/>
      <c r="L1037" s="5"/>
      <c r="M1037" s="5"/>
      <c r="N1037" s="5"/>
      <c r="O1037" s="5"/>
      <c r="P1037" s="23"/>
      <c r="Q1037" s="5"/>
      <c r="R1037" s="5"/>
      <c r="S1037" s="5"/>
      <c r="T1037" s="5"/>
      <c r="U1037" s="5"/>
      <c r="V1037" s="5"/>
      <c r="W1037" s="5"/>
      <c r="X1037" s="5"/>
      <c r="Y1037" s="5"/>
      <c r="Z1037" s="5"/>
    </row>
    <row r="1038">
      <c r="A1038" s="5"/>
      <c r="B1038" s="5"/>
      <c r="C1038" s="5"/>
      <c r="D1038" s="5"/>
      <c r="E1038" s="5"/>
      <c r="F1038" s="5"/>
      <c r="G1038" s="5"/>
      <c r="H1038" s="5"/>
      <c r="I1038" s="5"/>
      <c r="J1038" s="5"/>
      <c r="K1038" s="5"/>
      <c r="L1038" s="5"/>
      <c r="M1038" s="5"/>
      <c r="N1038" s="5"/>
      <c r="O1038" s="5"/>
      <c r="P1038" s="23"/>
      <c r="Q1038" s="5"/>
      <c r="R1038" s="5"/>
      <c r="S1038" s="5"/>
      <c r="T1038" s="5"/>
      <c r="U1038" s="5"/>
      <c r="V1038" s="5"/>
      <c r="W1038" s="5"/>
      <c r="X1038" s="5"/>
      <c r="Y1038" s="5"/>
      <c r="Z1038" s="5"/>
    </row>
    <row r="1039">
      <c r="A1039" s="5"/>
      <c r="B1039" s="5"/>
      <c r="C1039" s="5"/>
      <c r="D1039" s="5"/>
      <c r="E1039" s="5"/>
      <c r="F1039" s="5"/>
      <c r="G1039" s="5"/>
      <c r="H1039" s="5"/>
      <c r="I1039" s="5"/>
      <c r="J1039" s="5"/>
      <c r="K1039" s="5"/>
      <c r="L1039" s="5"/>
      <c r="M1039" s="5"/>
      <c r="N1039" s="5"/>
      <c r="O1039" s="5"/>
      <c r="P1039" s="23"/>
      <c r="Q1039" s="5"/>
      <c r="R1039" s="5"/>
      <c r="S1039" s="5"/>
      <c r="T1039" s="5"/>
      <c r="U1039" s="5"/>
      <c r="V1039" s="5"/>
      <c r="W1039" s="5"/>
      <c r="X1039" s="5"/>
      <c r="Y1039" s="5"/>
      <c r="Z1039" s="5"/>
    </row>
    <row r="1040">
      <c r="A1040" s="5"/>
      <c r="B1040" s="5"/>
      <c r="C1040" s="5"/>
      <c r="D1040" s="5"/>
      <c r="E1040" s="5"/>
      <c r="F1040" s="5"/>
      <c r="G1040" s="5"/>
      <c r="H1040" s="5"/>
      <c r="I1040" s="5"/>
      <c r="J1040" s="5"/>
      <c r="K1040" s="5"/>
      <c r="L1040" s="5"/>
      <c r="M1040" s="5"/>
      <c r="N1040" s="5"/>
      <c r="O1040" s="5"/>
      <c r="P1040" s="23"/>
      <c r="Q1040" s="5"/>
      <c r="R1040" s="5"/>
      <c r="S1040" s="5"/>
      <c r="T1040" s="5"/>
      <c r="U1040" s="5"/>
      <c r="V1040" s="5"/>
      <c r="W1040" s="5"/>
      <c r="X1040" s="5"/>
      <c r="Y1040" s="5"/>
      <c r="Z1040" s="5"/>
    </row>
    <row r="1041">
      <c r="A1041" s="5"/>
      <c r="B1041" s="5"/>
      <c r="C1041" s="5"/>
      <c r="D1041" s="5"/>
      <c r="E1041" s="5"/>
      <c r="F1041" s="5"/>
      <c r="G1041" s="5"/>
      <c r="H1041" s="5"/>
      <c r="I1041" s="5"/>
      <c r="J1041" s="5"/>
      <c r="K1041" s="5"/>
      <c r="L1041" s="5"/>
      <c r="M1041" s="5"/>
      <c r="N1041" s="5"/>
      <c r="O1041" s="5"/>
      <c r="P1041" s="23"/>
      <c r="Q1041" s="5"/>
      <c r="R1041" s="5"/>
      <c r="S1041" s="5"/>
      <c r="T1041" s="5"/>
      <c r="U1041" s="5"/>
      <c r="V1041" s="5"/>
      <c r="W1041" s="5"/>
      <c r="X1041" s="5"/>
      <c r="Y1041" s="5"/>
      <c r="Z1041" s="5"/>
    </row>
    <row r="1042">
      <c r="A1042" s="5"/>
      <c r="B1042" s="5"/>
      <c r="C1042" s="5"/>
      <c r="D1042" s="5"/>
      <c r="E1042" s="5"/>
      <c r="F1042" s="5"/>
      <c r="G1042" s="5"/>
      <c r="H1042" s="5"/>
      <c r="I1042" s="5"/>
      <c r="J1042" s="5"/>
      <c r="K1042" s="5"/>
      <c r="L1042" s="5"/>
      <c r="M1042" s="5"/>
      <c r="N1042" s="5"/>
      <c r="O1042" s="5"/>
      <c r="P1042" s="23"/>
      <c r="Q1042" s="5"/>
      <c r="R1042" s="5"/>
      <c r="S1042" s="5"/>
      <c r="T1042" s="5"/>
      <c r="U1042" s="5"/>
      <c r="V1042" s="5"/>
      <c r="W1042" s="5"/>
      <c r="X1042" s="5"/>
      <c r="Y1042" s="5"/>
      <c r="Z1042" s="5"/>
    </row>
    <row r="1043">
      <c r="A1043" s="5"/>
      <c r="B1043" s="5"/>
      <c r="C1043" s="5"/>
      <c r="D1043" s="5"/>
      <c r="E1043" s="5"/>
      <c r="F1043" s="5"/>
      <c r="G1043" s="5"/>
      <c r="H1043" s="5"/>
      <c r="I1043" s="5"/>
      <c r="J1043" s="5"/>
      <c r="K1043" s="5"/>
      <c r="L1043" s="5"/>
      <c r="M1043" s="5"/>
      <c r="N1043" s="5"/>
      <c r="O1043" s="5"/>
      <c r="P1043" s="23"/>
      <c r="Q1043" s="5"/>
      <c r="R1043" s="5"/>
      <c r="S1043" s="5"/>
      <c r="T1043" s="5"/>
      <c r="U1043" s="5"/>
      <c r="V1043" s="5"/>
      <c r="W1043" s="5"/>
      <c r="X1043" s="5"/>
      <c r="Y1043" s="5"/>
      <c r="Z1043" s="5"/>
    </row>
    <row r="1044">
      <c r="A1044" s="5"/>
      <c r="B1044" s="5"/>
      <c r="C1044" s="5"/>
      <c r="D1044" s="5"/>
      <c r="E1044" s="5"/>
      <c r="F1044" s="5"/>
      <c r="G1044" s="5"/>
      <c r="H1044" s="5"/>
      <c r="I1044" s="5"/>
      <c r="J1044" s="5"/>
      <c r="K1044" s="5"/>
      <c r="L1044" s="5"/>
      <c r="M1044" s="5"/>
      <c r="N1044" s="5"/>
      <c r="O1044" s="5"/>
      <c r="P1044" s="23"/>
      <c r="Q1044" s="5"/>
      <c r="R1044" s="5"/>
      <c r="S1044" s="5"/>
      <c r="T1044" s="5"/>
      <c r="U1044" s="5"/>
      <c r="V1044" s="5"/>
      <c r="W1044" s="5"/>
      <c r="X1044" s="5"/>
      <c r="Y1044" s="5"/>
      <c r="Z1044" s="5"/>
    </row>
    <row r="1045">
      <c r="A1045" s="5"/>
      <c r="B1045" s="5"/>
      <c r="C1045" s="5"/>
      <c r="D1045" s="5"/>
      <c r="E1045" s="5"/>
      <c r="F1045" s="5"/>
      <c r="G1045" s="5"/>
      <c r="H1045" s="5"/>
      <c r="I1045" s="5"/>
      <c r="J1045" s="5"/>
      <c r="K1045" s="5"/>
      <c r="L1045" s="5"/>
      <c r="M1045" s="5"/>
      <c r="N1045" s="5"/>
      <c r="O1045" s="5"/>
      <c r="P1045" s="23"/>
      <c r="Q1045" s="5"/>
      <c r="R1045" s="5"/>
      <c r="S1045" s="5"/>
      <c r="T1045" s="5"/>
      <c r="U1045" s="5"/>
      <c r="V1045" s="5"/>
      <c r="W1045" s="5"/>
      <c r="X1045" s="5"/>
      <c r="Y1045" s="5"/>
      <c r="Z1045" s="5"/>
    </row>
    <row r="1046">
      <c r="A1046" s="5"/>
      <c r="B1046" s="5"/>
      <c r="C1046" s="5"/>
      <c r="D1046" s="5"/>
      <c r="E1046" s="5"/>
      <c r="F1046" s="5"/>
      <c r="G1046" s="5"/>
      <c r="H1046" s="5"/>
      <c r="I1046" s="5"/>
      <c r="J1046" s="5"/>
      <c r="K1046" s="5"/>
      <c r="L1046" s="5"/>
      <c r="M1046" s="5"/>
      <c r="N1046" s="5"/>
      <c r="O1046" s="5"/>
      <c r="P1046" s="23"/>
      <c r="Q1046" s="5"/>
      <c r="R1046" s="5"/>
      <c r="S1046" s="5"/>
      <c r="T1046" s="5"/>
      <c r="U1046" s="5"/>
      <c r="V1046" s="5"/>
      <c r="W1046" s="5"/>
      <c r="X1046" s="5"/>
      <c r="Y1046" s="5"/>
      <c r="Z1046" s="5"/>
    </row>
    <row r="1047">
      <c r="A1047" s="5"/>
      <c r="B1047" s="5"/>
      <c r="C1047" s="5"/>
      <c r="D1047" s="5"/>
      <c r="E1047" s="5"/>
      <c r="F1047" s="5"/>
      <c r="G1047" s="5"/>
      <c r="H1047" s="5"/>
      <c r="I1047" s="5"/>
      <c r="J1047" s="5"/>
      <c r="K1047" s="5"/>
      <c r="L1047" s="5"/>
      <c r="M1047" s="5"/>
      <c r="N1047" s="5"/>
      <c r="O1047" s="5"/>
      <c r="P1047" s="23"/>
      <c r="Q1047" s="5"/>
      <c r="R1047" s="5"/>
      <c r="S1047" s="5"/>
      <c r="T1047" s="5"/>
      <c r="U1047" s="5"/>
      <c r="V1047" s="5"/>
      <c r="W1047" s="5"/>
      <c r="X1047" s="5"/>
      <c r="Y1047" s="5"/>
      <c r="Z1047" s="5"/>
    </row>
    <row r="1048">
      <c r="A1048" s="5"/>
      <c r="B1048" s="5"/>
      <c r="C1048" s="5"/>
      <c r="D1048" s="5"/>
      <c r="E1048" s="5"/>
      <c r="F1048" s="5"/>
      <c r="G1048" s="5"/>
      <c r="H1048" s="5"/>
      <c r="I1048" s="5"/>
      <c r="J1048" s="5"/>
      <c r="K1048" s="5"/>
      <c r="L1048" s="5"/>
      <c r="M1048" s="5"/>
      <c r="N1048" s="5"/>
      <c r="O1048" s="5"/>
      <c r="P1048" s="23"/>
      <c r="Q1048" s="5"/>
      <c r="R1048" s="5"/>
      <c r="S1048" s="5"/>
      <c r="T1048" s="5"/>
      <c r="U1048" s="5"/>
      <c r="V1048" s="5"/>
      <c r="W1048" s="5"/>
      <c r="X1048" s="5"/>
      <c r="Y1048" s="5"/>
      <c r="Z1048" s="5"/>
    </row>
    <row r="1049">
      <c r="A1049" s="5"/>
      <c r="B1049" s="5"/>
      <c r="C1049" s="5"/>
      <c r="D1049" s="5"/>
      <c r="E1049" s="5"/>
      <c r="F1049" s="5"/>
      <c r="G1049" s="5"/>
      <c r="H1049" s="5"/>
      <c r="I1049" s="5"/>
      <c r="J1049" s="5"/>
      <c r="K1049" s="5"/>
      <c r="L1049" s="5"/>
      <c r="M1049" s="5"/>
      <c r="N1049" s="5"/>
      <c r="O1049" s="5"/>
      <c r="P1049" s="23"/>
      <c r="Q1049" s="5"/>
      <c r="R1049" s="5"/>
      <c r="S1049" s="5"/>
      <c r="T1049" s="5"/>
      <c r="U1049" s="5"/>
      <c r="V1049" s="5"/>
      <c r="W1049" s="5"/>
      <c r="X1049" s="5"/>
      <c r="Y1049" s="5"/>
      <c r="Z1049" s="5"/>
    </row>
    <row r="1050">
      <c r="A1050" s="5"/>
      <c r="B1050" s="5"/>
      <c r="C1050" s="5"/>
      <c r="D1050" s="5"/>
      <c r="E1050" s="5"/>
      <c r="F1050" s="5"/>
      <c r="G1050" s="5"/>
      <c r="H1050" s="5"/>
      <c r="I1050" s="5"/>
      <c r="J1050" s="5"/>
      <c r="K1050" s="5"/>
      <c r="L1050" s="5"/>
      <c r="M1050" s="5"/>
      <c r="N1050" s="5"/>
      <c r="O1050" s="5"/>
      <c r="P1050" s="23"/>
      <c r="Q1050" s="5"/>
      <c r="R1050" s="5"/>
      <c r="S1050" s="5"/>
      <c r="T1050" s="5"/>
      <c r="U1050" s="5"/>
      <c r="V1050" s="5"/>
      <c r="W1050" s="5"/>
      <c r="X1050" s="5"/>
      <c r="Y1050" s="5"/>
      <c r="Z1050" s="5"/>
    </row>
    <row r="1051">
      <c r="A1051" s="5"/>
      <c r="B1051" s="5"/>
      <c r="C1051" s="5"/>
      <c r="D1051" s="5"/>
      <c r="E1051" s="5"/>
      <c r="F1051" s="5"/>
      <c r="G1051" s="5"/>
      <c r="H1051" s="5"/>
      <c r="I1051" s="5"/>
      <c r="J1051" s="5"/>
      <c r="K1051" s="5"/>
      <c r="L1051" s="5"/>
      <c r="M1051" s="5"/>
      <c r="N1051" s="5"/>
      <c r="O1051" s="5"/>
      <c r="P1051" s="23"/>
      <c r="Q1051" s="5"/>
      <c r="R1051" s="5"/>
      <c r="S1051" s="5"/>
      <c r="T1051" s="5"/>
      <c r="U1051" s="5"/>
      <c r="V1051" s="5"/>
      <c r="W1051" s="5"/>
      <c r="X1051" s="5"/>
      <c r="Y1051" s="5"/>
      <c r="Z1051" s="5"/>
    </row>
    <row r="1052">
      <c r="A1052" s="5"/>
      <c r="B1052" s="5"/>
      <c r="C1052" s="5"/>
      <c r="D1052" s="5"/>
      <c r="E1052" s="5"/>
      <c r="F1052" s="5"/>
      <c r="G1052" s="5"/>
      <c r="H1052" s="5"/>
      <c r="I1052" s="5"/>
      <c r="J1052" s="5"/>
      <c r="K1052" s="5"/>
      <c r="L1052" s="5"/>
      <c r="M1052" s="5"/>
      <c r="N1052" s="5"/>
      <c r="O1052" s="5"/>
      <c r="P1052" s="23"/>
      <c r="Q1052" s="5"/>
      <c r="R1052" s="5"/>
      <c r="S1052" s="5"/>
      <c r="T1052" s="5"/>
      <c r="U1052" s="5"/>
      <c r="V1052" s="5"/>
      <c r="W1052" s="5"/>
      <c r="X1052" s="5"/>
      <c r="Y1052" s="5"/>
      <c r="Z1052" s="5"/>
    </row>
    <row r="1053">
      <c r="A1053" s="5"/>
      <c r="B1053" s="5"/>
      <c r="C1053" s="5"/>
      <c r="D1053" s="5"/>
      <c r="E1053" s="5"/>
      <c r="F1053" s="5"/>
      <c r="G1053" s="5"/>
      <c r="H1053" s="5"/>
      <c r="I1053" s="5"/>
      <c r="J1053" s="5"/>
      <c r="K1053" s="5"/>
      <c r="L1053" s="5"/>
      <c r="M1053" s="5"/>
      <c r="N1053" s="5"/>
      <c r="O1053" s="5"/>
      <c r="P1053" s="23"/>
      <c r="Q1053" s="5"/>
      <c r="R1053" s="5"/>
      <c r="S1053" s="5"/>
      <c r="T1053" s="5"/>
      <c r="U1053" s="5"/>
      <c r="V1053" s="5"/>
      <c r="W1053" s="5"/>
      <c r="X1053" s="5"/>
      <c r="Y1053" s="5"/>
      <c r="Z1053" s="5"/>
    </row>
    <row r="1054">
      <c r="A1054" s="5"/>
      <c r="B1054" s="5"/>
      <c r="C1054" s="5"/>
      <c r="D1054" s="5"/>
      <c r="E1054" s="5"/>
      <c r="F1054" s="5"/>
      <c r="G1054" s="5"/>
      <c r="H1054" s="5"/>
      <c r="I1054" s="5"/>
      <c r="J1054" s="5"/>
      <c r="K1054" s="5"/>
      <c r="L1054" s="5"/>
      <c r="M1054" s="5"/>
      <c r="N1054" s="5"/>
      <c r="O1054" s="5"/>
      <c r="P1054" s="23"/>
      <c r="Q1054" s="5"/>
      <c r="R1054" s="5"/>
      <c r="S1054" s="5"/>
      <c r="T1054" s="5"/>
      <c r="U1054" s="5"/>
      <c r="V1054" s="5"/>
      <c r="W1054" s="5"/>
      <c r="X1054" s="5"/>
      <c r="Y1054" s="5"/>
      <c r="Z1054" s="5"/>
    </row>
    <row r="1055">
      <c r="A1055" s="5"/>
      <c r="B1055" s="5"/>
      <c r="C1055" s="5"/>
      <c r="D1055" s="5"/>
      <c r="E1055" s="5"/>
      <c r="F1055" s="5"/>
      <c r="G1055" s="5"/>
      <c r="H1055" s="5"/>
      <c r="I1055" s="5"/>
      <c r="J1055" s="5"/>
      <c r="K1055" s="5"/>
      <c r="L1055" s="5"/>
      <c r="M1055" s="5"/>
      <c r="N1055" s="5"/>
      <c r="O1055" s="5"/>
      <c r="P1055" s="23"/>
      <c r="Q1055" s="5"/>
      <c r="R1055" s="5"/>
      <c r="S1055" s="5"/>
      <c r="T1055" s="5"/>
      <c r="U1055" s="5"/>
      <c r="V1055" s="5"/>
      <c r="W1055" s="5"/>
      <c r="X1055" s="5"/>
      <c r="Y1055" s="5"/>
      <c r="Z1055" s="5"/>
    </row>
    <row r="1056">
      <c r="A1056" s="5"/>
      <c r="B1056" s="5"/>
      <c r="C1056" s="5"/>
      <c r="D1056" s="5"/>
      <c r="E1056" s="5"/>
      <c r="F1056" s="5"/>
      <c r="G1056" s="5"/>
      <c r="H1056" s="5"/>
      <c r="I1056" s="5"/>
      <c r="J1056" s="5"/>
      <c r="K1056" s="5"/>
      <c r="L1056" s="5"/>
      <c r="M1056" s="5"/>
      <c r="N1056" s="5"/>
      <c r="O1056" s="5"/>
      <c r="P1056" s="23"/>
      <c r="Q1056" s="5"/>
      <c r="R1056" s="5"/>
      <c r="S1056" s="5"/>
      <c r="T1056" s="5"/>
      <c r="U1056" s="5"/>
      <c r="V1056" s="5"/>
      <c r="W1056" s="5"/>
      <c r="X1056" s="5"/>
      <c r="Y1056" s="5"/>
      <c r="Z1056" s="5"/>
    </row>
    <row r="1057">
      <c r="A1057" s="5"/>
      <c r="B1057" s="5"/>
      <c r="C1057" s="5"/>
      <c r="D1057" s="5"/>
      <c r="E1057" s="5"/>
      <c r="F1057" s="5"/>
      <c r="G1057" s="5"/>
      <c r="H1057" s="5"/>
      <c r="I1057" s="5"/>
      <c r="J1057" s="5"/>
      <c r="K1057" s="5"/>
      <c r="L1057" s="5"/>
      <c r="M1057" s="5"/>
      <c r="N1057" s="5"/>
      <c r="O1057" s="5"/>
      <c r="P1057" s="23"/>
      <c r="Q1057" s="5"/>
      <c r="R1057" s="5"/>
      <c r="S1057" s="5"/>
      <c r="T1057" s="5"/>
      <c r="U1057" s="5"/>
      <c r="V1057" s="5"/>
      <c r="W1057" s="5"/>
      <c r="X1057" s="5"/>
      <c r="Y1057" s="5"/>
      <c r="Z1057" s="5"/>
    </row>
    <row r="1058">
      <c r="A1058" s="5"/>
      <c r="B1058" s="5"/>
      <c r="C1058" s="5"/>
      <c r="D1058" s="5"/>
      <c r="E1058" s="5"/>
      <c r="F1058" s="5"/>
      <c r="G1058" s="5"/>
      <c r="H1058" s="5"/>
      <c r="I1058" s="5"/>
      <c r="J1058" s="5"/>
      <c r="K1058" s="5"/>
      <c r="L1058" s="5"/>
      <c r="M1058" s="5"/>
      <c r="N1058" s="5"/>
      <c r="O1058" s="5"/>
      <c r="P1058" s="23"/>
      <c r="Q1058" s="5"/>
      <c r="R1058" s="5"/>
      <c r="S1058" s="5"/>
      <c r="T1058" s="5"/>
      <c r="U1058" s="5"/>
      <c r="V1058" s="5"/>
      <c r="W1058" s="5"/>
      <c r="X1058" s="5"/>
      <c r="Y1058" s="5"/>
      <c r="Z1058" s="5"/>
    </row>
    <row r="1059">
      <c r="A1059" s="5"/>
      <c r="B1059" s="5"/>
      <c r="C1059" s="5"/>
      <c r="D1059" s="5"/>
      <c r="E1059" s="5"/>
      <c r="F1059" s="5"/>
      <c r="G1059" s="5"/>
      <c r="H1059" s="5"/>
      <c r="I1059" s="5"/>
      <c r="J1059" s="5"/>
      <c r="K1059" s="5"/>
      <c r="L1059" s="5"/>
      <c r="M1059" s="5"/>
      <c r="N1059" s="5"/>
      <c r="O1059" s="5"/>
      <c r="P1059" s="23"/>
      <c r="Q1059" s="5"/>
      <c r="R1059" s="5"/>
      <c r="S1059" s="5"/>
      <c r="T1059" s="5"/>
      <c r="U1059" s="5"/>
      <c r="V1059" s="5"/>
      <c r="W1059" s="5"/>
      <c r="X1059" s="5"/>
      <c r="Y1059" s="5"/>
      <c r="Z1059" s="5"/>
    </row>
    <row r="1060">
      <c r="A1060" s="5"/>
      <c r="B1060" s="5"/>
      <c r="C1060" s="5"/>
      <c r="D1060" s="5"/>
      <c r="E1060" s="5"/>
      <c r="F1060" s="5"/>
      <c r="G1060" s="5"/>
      <c r="H1060" s="5"/>
      <c r="I1060" s="5"/>
      <c r="J1060" s="5"/>
      <c r="K1060" s="5"/>
      <c r="L1060" s="5"/>
      <c r="M1060" s="5"/>
      <c r="N1060" s="5"/>
      <c r="O1060" s="5"/>
      <c r="P1060" s="23"/>
      <c r="Q1060" s="5"/>
      <c r="R1060" s="5"/>
      <c r="S1060" s="5"/>
      <c r="T1060" s="5"/>
      <c r="U1060" s="5"/>
      <c r="V1060" s="5"/>
      <c r="W1060" s="5"/>
      <c r="X1060" s="5"/>
      <c r="Y1060" s="5"/>
      <c r="Z1060" s="5"/>
    </row>
  </sheetData>
  <mergeCells count="44">
    <mergeCell ref="A1:P1"/>
    <mergeCell ref="A2:P2"/>
    <mergeCell ref="A8:P8"/>
    <mergeCell ref="A14:P14"/>
    <mergeCell ref="A20:P20"/>
    <mergeCell ref="A26:P26"/>
    <mergeCell ref="A32:P32"/>
    <mergeCell ref="A38:P38"/>
    <mergeCell ref="A44:P44"/>
    <mergeCell ref="A50:P50"/>
    <mergeCell ref="A51:P51"/>
    <mergeCell ref="A57:P57"/>
    <mergeCell ref="A63:P63"/>
    <mergeCell ref="A69:P69"/>
    <mergeCell ref="A75:P75"/>
    <mergeCell ref="A76:P76"/>
    <mergeCell ref="A82:P82"/>
    <mergeCell ref="A88:P88"/>
    <mergeCell ref="A94:P94"/>
    <mergeCell ref="A95:P95"/>
    <mergeCell ref="A101:P101"/>
    <mergeCell ref="A102:P102"/>
    <mergeCell ref="A108:P108"/>
    <mergeCell ref="A114:P114"/>
    <mergeCell ref="A120:P120"/>
    <mergeCell ref="A126:P126"/>
    <mergeCell ref="A132:P132"/>
    <mergeCell ref="A138:P138"/>
    <mergeCell ref="A144:P144"/>
    <mergeCell ref="A150:P150"/>
    <mergeCell ref="A156:P156"/>
    <mergeCell ref="A162:P162"/>
    <mergeCell ref="A168:P168"/>
    <mergeCell ref="A174:P174"/>
    <mergeCell ref="A180:T180"/>
    <mergeCell ref="A223:T223"/>
    <mergeCell ref="A229:T229"/>
    <mergeCell ref="A181:T181"/>
    <mergeCell ref="A187:T187"/>
    <mergeCell ref="A193:T193"/>
    <mergeCell ref="A199:T199"/>
    <mergeCell ref="A205:T205"/>
    <mergeCell ref="A211:T211"/>
    <mergeCell ref="A217:T217"/>
  </mergeCells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2.75"/>
  <cols>
    <col customWidth="1" min="1" max="1" width="5.75"/>
    <col customWidth="1" min="2" max="3" width="11.5"/>
    <col customWidth="1" min="4" max="4" width="5.75"/>
    <col customWidth="1" min="5" max="5" width="8.63"/>
    <col customWidth="1" min="6" max="6" width="9.63"/>
    <col customWidth="1" min="7" max="7" width="5.75"/>
    <col customWidth="1" min="8" max="8" width="10.5"/>
    <col customWidth="1" min="9" max="9" width="4.88"/>
    <col customWidth="1" min="10" max="10" width="5.75"/>
    <col customWidth="1" min="11" max="11" width="9.63"/>
    <col customWidth="1" min="12" max="12" width="7.63"/>
    <col customWidth="1" min="13" max="13" width="6.75"/>
    <col customWidth="1" min="14" max="14" width="8.63"/>
    <col customWidth="1" min="15" max="16" width="9.38"/>
  </cols>
  <sheetData>
    <row r="1" ht="30.75" customHeight="1">
      <c r="A1" s="1" t="s">
        <v>1</v>
      </c>
    </row>
    <row r="2" ht="15.0" customHeight="1">
      <c r="A2" s="3" t="s">
        <v>3</v>
      </c>
      <c r="B2" s="3" t="s">
        <v>4</v>
      </c>
      <c r="C2" s="3" t="s">
        <v>5</v>
      </c>
      <c r="D2" s="3" t="s">
        <v>6</v>
      </c>
      <c r="E2" s="3" t="s">
        <v>7</v>
      </c>
      <c r="F2" s="4" t="s">
        <v>8</v>
      </c>
      <c r="G2" s="3" t="s">
        <v>9</v>
      </c>
      <c r="H2" s="7" t="s">
        <v>10</v>
      </c>
      <c r="I2" s="3" t="s">
        <v>12</v>
      </c>
      <c r="J2" s="3" t="s">
        <v>13</v>
      </c>
      <c r="K2" s="8" t="s">
        <v>15</v>
      </c>
      <c r="L2" s="3" t="s">
        <v>16</v>
      </c>
      <c r="M2" s="3" t="s">
        <v>17</v>
      </c>
      <c r="N2" s="3" t="s">
        <v>18</v>
      </c>
      <c r="O2" s="11" t="s">
        <v>19</v>
      </c>
      <c r="P2" s="12" t="s">
        <v>20</v>
      </c>
    </row>
    <row r="3" ht="15.0" customHeight="1">
      <c r="A3" s="13" t="s">
        <v>21</v>
      </c>
      <c r="B3" s="13" t="s">
        <v>23</v>
      </c>
      <c r="C3" s="13" t="s">
        <v>25</v>
      </c>
      <c r="D3" s="14"/>
      <c r="E3" s="14"/>
      <c r="F3" s="15"/>
      <c r="G3" s="14"/>
      <c r="H3" s="16"/>
      <c r="I3" s="13">
        <v>63.0</v>
      </c>
      <c r="J3" s="13">
        <v>4.0</v>
      </c>
      <c r="K3" s="17">
        <v>227.4</v>
      </c>
      <c r="L3" s="13" t="s">
        <v>29</v>
      </c>
      <c r="M3" s="13" t="s">
        <v>30</v>
      </c>
      <c r="N3" s="13">
        <v>1.0</v>
      </c>
      <c r="O3" s="20">
        <f>vlookup(N3,Superbowls!$A$2:$B$115,2,FALSE)</f>
        <v>2009</v>
      </c>
      <c r="P3" s="20" t="s">
        <v>36</v>
      </c>
    </row>
    <row r="4" ht="15.0" customHeight="1">
      <c r="A4" s="13" t="s">
        <v>21</v>
      </c>
      <c r="B4" s="13" t="s">
        <v>39</v>
      </c>
      <c r="C4" s="13" t="s">
        <v>40</v>
      </c>
      <c r="D4" s="14"/>
      <c r="E4" s="14"/>
      <c r="F4" s="15"/>
      <c r="G4" s="14"/>
      <c r="H4" s="16"/>
      <c r="I4" s="13">
        <v>15.0</v>
      </c>
      <c r="J4" s="13">
        <v>16.0</v>
      </c>
      <c r="K4" s="17">
        <v>70.4</v>
      </c>
      <c r="L4" s="13" t="s">
        <v>34</v>
      </c>
      <c r="M4" s="13" t="s">
        <v>35</v>
      </c>
      <c r="N4" s="13">
        <v>1.0</v>
      </c>
      <c r="O4" s="20">
        <f>vlookup(N4,Superbowls!$A$2:$B$115,2,FALSE)</f>
        <v>2009</v>
      </c>
      <c r="P4" s="20" t="s">
        <v>36</v>
      </c>
    </row>
    <row r="5" ht="15.0" customHeight="1">
      <c r="A5" s="13" t="s">
        <v>21</v>
      </c>
      <c r="B5" s="13" t="s">
        <v>45</v>
      </c>
      <c r="C5" s="13" t="s">
        <v>46</v>
      </c>
      <c r="D5" s="14"/>
      <c r="E5" s="14"/>
      <c r="F5" s="15"/>
      <c r="G5" s="14"/>
      <c r="H5" s="16"/>
      <c r="I5" s="13">
        <v>28.0</v>
      </c>
      <c r="J5" s="13">
        <v>8.0</v>
      </c>
      <c r="K5" s="17">
        <v>164.9</v>
      </c>
      <c r="L5" s="13" t="s">
        <v>47</v>
      </c>
      <c r="M5" s="13" t="s">
        <v>30</v>
      </c>
      <c r="N5" s="13">
        <v>2.0</v>
      </c>
      <c r="O5" s="20">
        <f>vlookup(N5,Superbowls!$A$2:$B$115,2,FALSE)</f>
        <v>2009</v>
      </c>
      <c r="P5" s="20" t="s">
        <v>36</v>
      </c>
    </row>
    <row r="6" ht="15.0" customHeight="1">
      <c r="A6" s="13" t="s">
        <v>21</v>
      </c>
      <c r="B6" s="13" t="s">
        <v>52</v>
      </c>
      <c r="C6" s="13" t="s">
        <v>53</v>
      </c>
      <c r="D6" s="14"/>
      <c r="E6" s="14"/>
      <c r="F6" s="15"/>
      <c r="G6" s="14"/>
      <c r="H6" s="16"/>
      <c r="I6" s="13">
        <v>40.0</v>
      </c>
      <c r="J6" s="13">
        <v>5.0</v>
      </c>
      <c r="K6" s="17">
        <v>130.5</v>
      </c>
      <c r="L6" s="13" t="s">
        <v>54</v>
      </c>
      <c r="M6" s="13" t="s">
        <v>42</v>
      </c>
      <c r="N6" s="13">
        <v>2.0</v>
      </c>
      <c r="O6" s="20">
        <f>vlookup(N6,Superbowls!$A$2:$B$115,2,FALSE)</f>
        <v>2009</v>
      </c>
      <c r="P6" s="20" t="s">
        <v>36</v>
      </c>
    </row>
    <row r="7" ht="15.0" customHeight="1">
      <c r="A7" s="13" t="s">
        <v>21</v>
      </c>
      <c r="B7" s="13" t="s">
        <v>58</v>
      </c>
      <c r="C7" s="13" t="s">
        <v>59</v>
      </c>
      <c r="D7" s="14"/>
      <c r="E7" s="14"/>
      <c r="F7" s="15"/>
      <c r="G7" s="14"/>
      <c r="H7" s="16"/>
      <c r="I7" s="13">
        <v>59.0</v>
      </c>
      <c r="J7" s="13">
        <v>1.0</v>
      </c>
      <c r="K7" s="17">
        <v>219.2</v>
      </c>
      <c r="L7" s="13" t="s">
        <v>60</v>
      </c>
      <c r="M7" s="13" t="s">
        <v>30</v>
      </c>
      <c r="N7" s="13">
        <v>3.0</v>
      </c>
      <c r="O7" s="20">
        <f>vlookup(N7,Superbowls!$A$2:$B$115,2,FALSE)</f>
        <v>2009</v>
      </c>
      <c r="P7" s="20" t="s">
        <v>36</v>
      </c>
    </row>
    <row r="8" ht="15.0" customHeight="1">
      <c r="A8" s="13" t="s">
        <v>21</v>
      </c>
      <c r="B8" s="13" t="s">
        <v>52</v>
      </c>
      <c r="C8" s="13" t="s">
        <v>53</v>
      </c>
      <c r="D8" s="13">
        <v>272.0</v>
      </c>
      <c r="E8" s="13">
        <v>153.0</v>
      </c>
      <c r="F8" s="24">
        <v>56.2</v>
      </c>
      <c r="G8" s="13">
        <v>5170.0</v>
      </c>
      <c r="H8" s="25">
        <v>19.0</v>
      </c>
      <c r="I8" s="13">
        <v>65.0</v>
      </c>
      <c r="J8" s="13">
        <v>5.0</v>
      </c>
      <c r="K8" s="17">
        <v>197.6</v>
      </c>
      <c r="L8" s="13" t="s">
        <v>54</v>
      </c>
      <c r="M8" s="13" t="s">
        <v>42</v>
      </c>
      <c r="N8" s="13">
        <v>4.0</v>
      </c>
      <c r="O8" s="20">
        <f>vlookup(N8,Superbowls!$A$2:$B$115,2,FALSE)</f>
        <v>2009</v>
      </c>
      <c r="P8" s="20" t="s">
        <v>36</v>
      </c>
    </row>
    <row r="9" ht="15.0" customHeight="1">
      <c r="A9" s="13" t="s">
        <v>21</v>
      </c>
      <c r="B9" s="13" t="s">
        <v>61</v>
      </c>
      <c r="C9" s="13" t="s">
        <v>21</v>
      </c>
      <c r="D9" s="13">
        <v>242.0</v>
      </c>
      <c r="E9" s="13">
        <v>129.0</v>
      </c>
      <c r="F9" s="24">
        <v>53.3</v>
      </c>
      <c r="G9" s="13">
        <v>2985.0</v>
      </c>
      <c r="H9" s="25">
        <v>12.3</v>
      </c>
      <c r="I9" s="13">
        <v>33.0</v>
      </c>
      <c r="J9" s="13">
        <v>14.0</v>
      </c>
      <c r="K9" s="17">
        <v>119.2</v>
      </c>
      <c r="L9" s="13" t="s">
        <v>62</v>
      </c>
      <c r="M9" s="13" t="s">
        <v>63</v>
      </c>
      <c r="N9" s="13">
        <v>4.0</v>
      </c>
      <c r="O9" s="20">
        <f>vlookup(N9,Superbowls!$A$2:$B$115,2,FALSE)</f>
        <v>2009</v>
      </c>
      <c r="P9" s="20" t="s">
        <v>36</v>
      </c>
    </row>
    <row r="10" ht="15.0" customHeight="1">
      <c r="A10" s="13" t="s">
        <v>21</v>
      </c>
      <c r="B10" s="13" t="s">
        <v>76</v>
      </c>
      <c r="C10" s="13" t="s">
        <v>77</v>
      </c>
      <c r="D10" s="13">
        <v>239.0</v>
      </c>
      <c r="E10" s="13">
        <v>171.0</v>
      </c>
      <c r="F10" s="24">
        <v>71.5</v>
      </c>
      <c r="G10" s="13">
        <v>4873.0</v>
      </c>
      <c r="H10" s="25">
        <v>20.3</v>
      </c>
      <c r="I10" s="13">
        <v>60.0</v>
      </c>
      <c r="J10" s="13">
        <v>11.0</v>
      </c>
      <c r="K10" s="17">
        <v>211.1</v>
      </c>
      <c r="L10" s="13" t="s">
        <v>79</v>
      </c>
      <c r="M10" s="13" t="s">
        <v>30</v>
      </c>
      <c r="N10" s="13">
        <v>4.0</v>
      </c>
      <c r="O10" s="20">
        <f>vlookup(N10,Superbowls!$A$2:$B$115,2,FALSE)</f>
        <v>2009</v>
      </c>
      <c r="P10" s="20" t="s">
        <v>36</v>
      </c>
    </row>
    <row r="11" ht="15.0" customHeight="1">
      <c r="A11" s="13" t="s">
        <v>21</v>
      </c>
      <c r="B11" s="13" t="s">
        <v>80</v>
      </c>
      <c r="C11" s="13" t="s">
        <v>21</v>
      </c>
      <c r="D11" s="13">
        <v>211.0</v>
      </c>
      <c r="E11" s="13">
        <v>148.0</v>
      </c>
      <c r="F11" s="24">
        <v>70.1</v>
      </c>
      <c r="G11" s="13">
        <v>5136.0</v>
      </c>
      <c r="H11" s="25">
        <v>24.3</v>
      </c>
      <c r="I11" s="13">
        <v>56.0</v>
      </c>
      <c r="J11" s="13">
        <v>6.0</v>
      </c>
      <c r="K11" s="17">
        <v>238.5</v>
      </c>
      <c r="L11" s="13" t="s">
        <v>81</v>
      </c>
      <c r="M11" s="13" t="s">
        <v>63</v>
      </c>
      <c r="N11" s="13">
        <v>5.0</v>
      </c>
      <c r="O11" s="20">
        <f>vlookup(N11,Superbowls!$A$2:$B$115,2,FALSE)</f>
        <v>2010</v>
      </c>
      <c r="P11" s="20" t="s">
        <v>36</v>
      </c>
    </row>
    <row r="12" ht="15.0" customHeight="1">
      <c r="A12" s="13" t="s">
        <v>21</v>
      </c>
      <c r="B12" s="13" t="s">
        <v>85</v>
      </c>
      <c r="C12" s="13" t="s">
        <v>86</v>
      </c>
      <c r="D12" s="13">
        <v>195.0</v>
      </c>
      <c r="E12" s="13">
        <v>143.0</v>
      </c>
      <c r="F12" s="24">
        <v>73.3</v>
      </c>
      <c r="G12" s="13">
        <v>4696.0</v>
      </c>
      <c r="H12" s="25">
        <v>24.0</v>
      </c>
      <c r="I12" s="13">
        <v>66.0</v>
      </c>
      <c r="J12" s="13">
        <v>6.0</v>
      </c>
      <c r="K12" s="17">
        <v>258.4</v>
      </c>
      <c r="L12" s="13" t="s">
        <v>89</v>
      </c>
      <c r="M12" s="13" t="s">
        <v>30</v>
      </c>
      <c r="N12" s="13">
        <v>5.0</v>
      </c>
      <c r="O12" s="20">
        <f>vlookup(N12,Superbowls!$A$2:$B$115,2,FALSE)</f>
        <v>2010</v>
      </c>
      <c r="P12" s="20" t="s">
        <v>36</v>
      </c>
    </row>
    <row r="13" ht="15.0" customHeight="1">
      <c r="A13" s="13" t="s">
        <v>21</v>
      </c>
      <c r="B13" s="13" t="s">
        <v>52</v>
      </c>
      <c r="C13" s="13" t="s">
        <v>53</v>
      </c>
      <c r="D13" s="13">
        <v>316.0</v>
      </c>
      <c r="E13" s="13">
        <v>200.0</v>
      </c>
      <c r="F13" s="24">
        <v>63.2</v>
      </c>
      <c r="G13" s="13">
        <v>6365.0</v>
      </c>
      <c r="H13" s="25">
        <v>20.1</v>
      </c>
      <c r="I13" s="13">
        <v>80.0</v>
      </c>
      <c r="J13" s="13">
        <v>6.0</v>
      </c>
      <c r="K13" s="17">
        <v>197.2</v>
      </c>
      <c r="L13" s="13" t="s">
        <v>54</v>
      </c>
      <c r="M13" s="13" t="s">
        <v>42</v>
      </c>
      <c r="N13" s="20">
        <v>6.0</v>
      </c>
      <c r="O13" s="20">
        <f>vlookup(N13,Superbowls!$A$2:$B$115,2,FALSE)</f>
        <v>2011</v>
      </c>
      <c r="P13" s="20" t="s">
        <v>36</v>
      </c>
    </row>
    <row r="14" ht="15.0" customHeight="1">
      <c r="A14" s="13" t="s">
        <v>21</v>
      </c>
      <c r="B14" s="13" t="s">
        <v>99</v>
      </c>
      <c r="C14" s="13" t="s">
        <v>100</v>
      </c>
      <c r="D14" s="13">
        <v>232.0</v>
      </c>
      <c r="E14" s="13">
        <v>160.0</v>
      </c>
      <c r="F14" s="24">
        <v>68.9</v>
      </c>
      <c r="G14" s="13">
        <v>4082.0</v>
      </c>
      <c r="H14" s="25">
        <v>17.5</v>
      </c>
      <c r="I14" s="13">
        <v>41.0</v>
      </c>
      <c r="J14" s="13">
        <v>8.0</v>
      </c>
      <c r="K14" s="17">
        <v>177.4</v>
      </c>
      <c r="L14" s="13" t="s">
        <v>102</v>
      </c>
      <c r="M14" s="13" t="s">
        <v>30</v>
      </c>
      <c r="N14" s="20">
        <v>6.0</v>
      </c>
      <c r="O14" s="20">
        <f>vlookup(N14,Superbowls!$A$2:$B$115,2,FALSE)</f>
        <v>2011</v>
      </c>
      <c r="P14" s="20" t="s">
        <v>36</v>
      </c>
    </row>
    <row r="15">
      <c r="A15" s="20" t="s">
        <v>21</v>
      </c>
      <c r="B15" s="20" t="s">
        <v>85</v>
      </c>
      <c r="C15" s="20" t="s">
        <v>86</v>
      </c>
      <c r="D15" s="20">
        <v>182.0</v>
      </c>
      <c r="E15" s="20">
        <v>133.0</v>
      </c>
      <c r="F15" s="24">
        <v>73.0</v>
      </c>
      <c r="G15" s="20">
        <v>4629.0</v>
      </c>
      <c r="H15" s="25">
        <v>25.4</v>
      </c>
      <c r="I15" s="20">
        <v>63.0</v>
      </c>
      <c r="J15" s="20">
        <v>6.0</v>
      </c>
      <c r="K15" s="17">
        <v>270.6</v>
      </c>
      <c r="L15" s="20" t="s">
        <v>89</v>
      </c>
      <c r="M15" s="20" t="s">
        <v>30</v>
      </c>
      <c r="N15" s="20">
        <v>7.0</v>
      </c>
      <c r="O15" s="20">
        <f>vlookup(N15,Superbowls!$A$2:$B$115,2,FALSE)</f>
        <v>2017</v>
      </c>
      <c r="P15" s="20" t="s">
        <v>36</v>
      </c>
    </row>
    <row r="16">
      <c r="A16" s="20" t="s">
        <v>21</v>
      </c>
      <c r="B16" s="20" t="s">
        <v>23</v>
      </c>
      <c r="C16" s="20" t="s">
        <v>25</v>
      </c>
      <c r="D16" s="20">
        <v>144.0</v>
      </c>
      <c r="E16" s="20">
        <v>113.0</v>
      </c>
      <c r="F16" s="24">
        <v>78.4</v>
      </c>
      <c r="G16" s="20">
        <v>3710.0</v>
      </c>
      <c r="H16" s="25">
        <v>25.7</v>
      </c>
      <c r="I16" s="20">
        <v>45.0</v>
      </c>
      <c r="J16" s="20">
        <v>3.0</v>
      </c>
      <c r="K16" s="17">
        <v>270.3</v>
      </c>
      <c r="L16" s="20" t="s">
        <v>29</v>
      </c>
      <c r="M16" s="20" t="s">
        <v>35</v>
      </c>
      <c r="N16" s="20">
        <v>7.0</v>
      </c>
      <c r="O16" s="20">
        <f>vlookup(N16,Superbowls!$A$2:$B$115,2,FALSE)</f>
        <v>2017</v>
      </c>
      <c r="P16" s="20" t="s">
        <v>36</v>
      </c>
    </row>
    <row r="17">
      <c r="A17" s="20" t="s">
        <v>21</v>
      </c>
      <c r="B17" s="20" t="s">
        <v>111</v>
      </c>
      <c r="C17" s="20" t="s">
        <v>113</v>
      </c>
      <c r="D17" s="20">
        <v>264.0</v>
      </c>
      <c r="E17" s="20">
        <v>166.0</v>
      </c>
      <c r="F17" s="24">
        <v>62.8</v>
      </c>
      <c r="G17" s="20">
        <v>4269.0</v>
      </c>
      <c r="H17" s="25">
        <v>16.1</v>
      </c>
      <c r="I17" s="20">
        <v>44.0</v>
      </c>
      <c r="J17" s="20">
        <v>15.0</v>
      </c>
      <c r="K17" s="17">
        <v>153.7</v>
      </c>
      <c r="L17" s="20" t="s">
        <v>114</v>
      </c>
      <c r="M17" s="20" t="s">
        <v>42</v>
      </c>
      <c r="N17" s="20">
        <v>7.0</v>
      </c>
      <c r="O17" s="20">
        <f>vlookup(N17,Superbowls!$A$2:$B$115,2,FALSE)</f>
        <v>2017</v>
      </c>
      <c r="P17" s="20" t="s">
        <v>36</v>
      </c>
    </row>
    <row r="18">
      <c r="A18" s="20" t="s">
        <v>21</v>
      </c>
      <c r="B18" s="20" t="s">
        <v>76</v>
      </c>
      <c r="C18" s="20" t="s">
        <v>77</v>
      </c>
      <c r="D18" s="20">
        <v>133.0</v>
      </c>
      <c r="E18" s="20">
        <v>95.0</v>
      </c>
      <c r="F18" s="24">
        <v>71.4</v>
      </c>
      <c r="G18" s="20">
        <v>3097.0</v>
      </c>
      <c r="H18" s="25">
        <v>23.2</v>
      </c>
      <c r="I18" s="20">
        <v>34.0</v>
      </c>
      <c r="J18" s="20">
        <v>6.0</v>
      </c>
      <c r="K18" s="17">
        <v>225.0</v>
      </c>
      <c r="L18" s="20" t="s">
        <v>79</v>
      </c>
      <c r="M18" s="20" t="s">
        <v>71</v>
      </c>
      <c r="N18" s="20">
        <v>8.0</v>
      </c>
      <c r="O18" s="20">
        <f>vlookup(N18,Superbowls!$A$2:$B$115,2,FALSE)</f>
        <v>2017</v>
      </c>
      <c r="P18" s="20" t="s">
        <v>36</v>
      </c>
    </row>
    <row r="19">
      <c r="A19" s="20" t="s">
        <v>21</v>
      </c>
      <c r="B19" s="20" t="s">
        <v>120</v>
      </c>
      <c r="C19" s="20" t="s">
        <v>33</v>
      </c>
      <c r="D19" s="20">
        <v>155.0</v>
      </c>
      <c r="E19" s="20">
        <v>101.0</v>
      </c>
      <c r="F19" s="24">
        <v>65.1</v>
      </c>
      <c r="G19" s="20">
        <v>3286.0</v>
      </c>
      <c r="H19" s="25">
        <v>21.2</v>
      </c>
      <c r="I19" s="20">
        <v>38.0</v>
      </c>
      <c r="J19" s="20">
        <v>8.0</v>
      </c>
      <c r="K19" s="17">
        <v>204.9</v>
      </c>
      <c r="L19" s="20" t="s">
        <v>78</v>
      </c>
      <c r="M19" s="20" t="s">
        <v>42</v>
      </c>
      <c r="N19" s="20">
        <v>8.0</v>
      </c>
      <c r="O19" s="20">
        <f>vlookup(N19,Superbowls!$A$2:$B$115,2,FALSE)</f>
        <v>2017</v>
      </c>
      <c r="P19" s="20" t="s">
        <v>36</v>
      </c>
    </row>
    <row r="20">
      <c r="A20" s="20" t="s">
        <v>21</v>
      </c>
      <c r="B20" s="20" t="s">
        <v>123</v>
      </c>
      <c r="C20" s="20" t="s">
        <v>21</v>
      </c>
      <c r="D20" s="20">
        <v>187.0</v>
      </c>
      <c r="E20" s="20">
        <v>143.0</v>
      </c>
      <c r="F20" s="24">
        <v>76.4</v>
      </c>
      <c r="G20" s="20">
        <v>3428.0</v>
      </c>
      <c r="H20" s="25">
        <v>18.3</v>
      </c>
      <c r="I20" s="20">
        <v>38.0</v>
      </c>
      <c r="J20" s="20">
        <v>3.0</v>
      </c>
      <c r="K20" s="17">
        <v>203.2</v>
      </c>
      <c r="L20" s="20" t="s">
        <v>124</v>
      </c>
      <c r="M20" s="20" t="s">
        <v>35</v>
      </c>
      <c r="N20" s="20">
        <v>8.0</v>
      </c>
      <c r="O20" s="20">
        <f>vlookup(N20,Superbowls!$A$2:$B$115,2,FALSE)</f>
        <v>2017</v>
      </c>
      <c r="P20" s="20" t="s">
        <v>36</v>
      </c>
    </row>
    <row r="21">
      <c r="A21" s="20" t="s">
        <v>21</v>
      </c>
      <c r="B21" s="20" t="s">
        <v>125</v>
      </c>
      <c r="C21" s="20" t="s">
        <v>126</v>
      </c>
      <c r="D21" s="20">
        <v>184.0</v>
      </c>
      <c r="E21" s="20">
        <v>108.0</v>
      </c>
      <c r="F21" s="24">
        <v>58.6</v>
      </c>
      <c r="G21" s="20">
        <v>3593.0</v>
      </c>
      <c r="H21" s="25">
        <v>19.5</v>
      </c>
      <c r="I21" s="20">
        <v>32.0</v>
      </c>
      <c r="J21" s="20">
        <v>9.0</v>
      </c>
      <c r="K21" s="17">
        <v>169.9</v>
      </c>
      <c r="L21" s="20" t="s">
        <v>107</v>
      </c>
      <c r="M21" s="20" t="s">
        <v>63</v>
      </c>
      <c r="N21" s="20">
        <v>8.0</v>
      </c>
      <c r="O21" s="20">
        <f>vlookup(N21,Superbowls!$A$2:$B$115,2,FALSE)</f>
        <v>2017</v>
      </c>
      <c r="P21" s="20" t="s">
        <v>36</v>
      </c>
    </row>
    <row r="22">
      <c r="A22" s="20" t="s">
        <v>21</v>
      </c>
      <c r="B22" s="20" t="s">
        <v>129</v>
      </c>
      <c r="C22" s="20" t="s">
        <v>130</v>
      </c>
      <c r="D22" s="20">
        <v>152.0</v>
      </c>
      <c r="E22" s="20">
        <v>83.0</v>
      </c>
      <c r="F22" s="24">
        <v>54.6</v>
      </c>
      <c r="G22" s="20">
        <v>2765.0</v>
      </c>
      <c r="H22" s="25">
        <v>18.1</v>
      </c>
      <c r="I22" s="20">
        <v>34.0</v>
      </c>
      <c r="J22" s="20">
        <v>13.0</v>
      </c>
      <c r="K22" s="17">
        <v>162.2</v>
      </c>
      <c r="L22" s="20" t="s">
        <v>131</v>
      </c>
      <c r="M22" s="20" t="s">
        <v>30</v>
      </c>
      <c r="N22" s="20">
        <v>8.0</v>
      </c>
      <c r="O22" s="20">
        <f>vlookup(N22,Superbowls!$A$2:$B$115,2,FALSE)</f>
        <v>2017</v>
      </c>
      <c r="P22" s="20" t="s">
        <v>36</v>
      </c>
    </row>
    <row r="23">
      <c r="A23" s="20" t="s">
        <v>21</v>
      </c>
      <c r="B23" s="20" t="s">
        <v>132</v>
      </c>
      <c r="C23" s="20" t="s">
        <v>133</v>
      </c>
      <c r="D23" s="20">
        <v>172.0</v>
      </c>
      <c r="E23" s="20">
        <v>127.0</v>
      </c>
      <c r="F23" s="24">
        <v>73.8</v>
      </c>
      <c r="G23" s="20">
        <v>4413.0</v>
      </c>
      <c r="H23" s="25">
        <v>25.6</v>
      </c>
      <c r="I23" s="20">
        <v>45.0</v>
      </c>
      <c r="J23" s="20">
        <v>1.0</v>
      </c>
      <c r="K23" s="17">
        <v>255.3</v>
      </c>
      <c r="L23" s="20" t="s">
        <v>101</v>
      </c>
      <c r="M23" s="20" t="s">
        <v>71</v>
      </c>
      <c r="N23" s="27">
        <v>9.0</v>
      </c>
      <c r="O23" s="20">
        <f>vlookup(N23,Superbowls!$A$2:$B$115,2,FALSE)</f>
        <v>2017</v>
      </c>
      <c r="P23" s="28" t="s">
        <v>36</v>
      </c>
    </row>
    <row r="24">
      <c r="A24" s="20" t="s">
        <v>21</v>
      </c>
      <c r="B24" s="20" t="s">
        <v>138</v>
      </c>
      <c r="C24" s="20" t="s">
        <v>139</v>
      </c>
      <c r="D24" s="20">
        <v>139.0</v>
      </c>
      <c r="E24" s="20">
        <v>84.0</v>
      </c>
      <c r="F24" s="24">
        <v>60.4</v>
      </c>
      <c r="G24" s="20">
        <v>2650.0</v>
      </c>
      <c r="H24" s="25">
        <v>19.0</v>
      </c>
      <c r="I24" s="20">
        <v>31.0</v>
      </c>
      <c r="J24" s="20">
        <v>15.0</v>
      </c>
      <c r="K24" s="17">
        <v>161.2</v>
      </c>
      <c r="L24" s="20" t="s">
        <v>93</v>
      </c>
      <c r="M24" s="20" t="s">
        <v>42</v>
      </c>
      <c r="N24" s="27">
        <v>9.0</v>
      </c>
      <c r="O24" s="20">
        <f>vlookup(N24,Superbowls!$A$2:$B$115,2,FALSE)</f>
        <v>2017</v>
      </c>
      <c r="P24" s="28" t="s">
        <v>36</v>
      </c>
    </row>
    <row r="25">
      <c r="A25" s="20" t="s">
        <v>21</v>
      </c>
      <c r="B25" s="20" t="s">
        <v>143</v>
      </c>
      <c r="C25" s="20" t="s">
        <v>144</v>
      </c>
      <c r="D25" s="20">
        <v>200.0</v>
      </c>
      <c r="E25" s="20">
        <v>130.0</v>
      </c>
      <c r="F25" s="24">
        <v>65.0</v>
      </c>
      <c r="G25" s="20">
        <v>3058.0</v>
      </c>
      <c r="H25" s="25">
        <v>15.2</v>
      </c>
      <c r="I25" s="20">
        <v>22.0</v>
      </c>
      <c r="J25" s="20">
        <v>6.0</v>
      </c>
      <c r="K25" s="17">
        <v>144.1</v>
      </c>
      <c r="L25" s="20" t="s">
        <v>145</v>
      </c>
      <c r="M25" s="20" t="s">
        <v>63</v>
      </c>
      <c r="N25" s="27">
        <v>9.0</v>
      </c>
      <c r="O25" s="20">
        <f>vlookup(N25,Superbowls!$A$2:$B$115,2,FALSE)</f>
        <v>2017</v>
      </c>
      <c r="P25" s="28" t="s">
        <v>36</v>
      </c>
    </row>
    <row r="26">
      <c r="A26" s="20" t="s">
        <v>21</v>
      </c>
      <c r="B26" s="20" t="s">
        <v>146</v>
      </c>
      <c r="C26" s="20" t="s">
        <v>147</v>
      </c>
      <c r="D26" s="20">
        <v>129.0</v>
      </c>
      <c r="E26" s="20">
        <v>82.0</v>
      </c>
      <c r="F26" s="24">
        <v>63.5</v>
      </c>
      <c r="G26" s="20">
        <v>2167.0</v>
      </c>
      <c r="H26" s="25">
        <v>16.8</v>
      </c>
      <c r="I26" s="20">
        <v>11.0</v>
      </c>
      <c r="J26" s="20">
        <v>9.0</v>
      </c>
      <c r="K26" s="17">
        <v>124.3</v>
      </c>
      <c r="L26" s="20" t="s">
        <v>90</v>
      </c>
      <c r="M26" s="20" t="s">
        <v>30</v>
      </c>
      <c r="N26" s="27">
        <v>9.0</v>
      </c>
      <c r="O26" s="20">
        <f>vlookup(N26,Superbowls!$A$2:$B$115,2,FALSE)</f>
        <v>2017</v>
      </c>
      <c r="P26" s="28" t="s">
        <v>36</v>
      </c>
    </row>
    <row r="27">
      <c r="A27" s="20" t="s">
        <v>21</v>
      </c>
      <c r="B27" s="20" t="s">
        <v>61</v>
      </c>
      <c r="C27" s="20" t="s">
        <v>21</v>
      </c>
      <c r="D27" s="20">
        <v>131.0</v>
      </c>
      <c r="E27" s="20">
        <v>94.0</v>
      </c>
      <c r="F27" s="24">
        <v>71.7</v>
      </c>
      <c r="G27" s="20">
        <v>3066.0</v>
      </c>
      <c r="H27" s="25">
        <v>23.4</v>
      </c>
      <c r="I27" s="20">
        <v>39.0</v>
      </c>
      <c r="J27" s="20">
        <v>2.0</v>
      </c>
      <c r="K27" s="17">
        <v>252.2</v>
      </c>
      <c r="L27" s="20" t="s">
        <v>62</v>
      </c>
      <c r="M27" s="20" t="s">
        <v>30</v>
      </c>
      <c r="N27" s="27">
        <v>10.0</v>
      </c>
      <c r="O27" s="20">
        <f>vlookup(N27,Superbowls!$A$2:$B$115,2,FALSE)</f>
        <v>2018</v>
      </c>
      <c r="P27" s="28" t="s">
        <v>36</v>
      </c>
    </row>
    <row r="28">
      <c r="A28" s="20" t="s">
        <v>21</v>
      </c>
      <c r="B28" s="20" t="s">
        <v>85</v>
      </c>
      <c r="C28" s="20" t="s">
        <v>86</v>
      </c>
      <c r="D28" s="20">
        <v>207.0</v>
      </c>
      <c r="E28" s="20">
        <v>153.0</v>
      </c>
      <c r="F28" s="24">
        <v>73.9</v>
      </c>
      <c r="G28" s="20">
        <v>4785.0</v>
      </c>
      <c r="H28" s="25">
        <v>23.1</v>
      </c>
      <c r="I28" s="20">
        <v>58.0</v>
      </c>
      <c r="J28" s="20">
        <v>12.0</v>
      </c>
      <c r="K28" s="17">
        <v>229.2</v>
      </c>
      <c r="L28" s="20" t="s">
        <v>89</v>
      </c>
      <c r="M28" s="20" t="s">
        <v>71</v>
      </c>
      <c r="N28" s="27">
        <v>10.0</v>
      </c>
      <c r="O28" s="20">
        <f>vlookup(N28,Superbowls!$A$2:$B$115,2,FALSE)</f>
        <v>2018</v>
      </c>
      <c r="P28" s="28" t="s">
        <v>36</v>
      </c>
    </row>
    <row r="29">
      <c r="A29" s="20" t="s">
        <v>21</v>
      </c>
      <c r="B29" s="20" t="s">
        <v>80</v>
      </c>
      <c r="C29" s="20" t="s">
        <v>21</v>
      </c>
      <c r="D29" s="20">
        <v>230.0</v>
      </c>
      <c r="E29" s="20">
        <v>165.0</v>
      </c>
      <c r="F29" s="24">
        <v>71.7</v>
      </c>
      <c r="G29" s="20">
        <v>4939.0</v>
      </c>
      <c r="H29" s="25">
        <v>21.4</v>
      </c>
      <c r="I29" s="20">
        <v>53.0</v>
      </c>
      <c r="J29" s="20">
        <v>4.0</v>
      </c>
      <c r="K29" s="17">
        <v>220.9</v>
      </c>
      <c r="L29" s="20" t="s">
        <v>81</v>
      </c>
      <c r="M29" s="20" t="s">
        <v>63</v>
      </c>
      <c r="N29" s="27">
        <v>10.0</v>
      </c>
      <c r="O29" s="20">
        <f>vlookup(N29,Superbowls!$A$2:$B$115,2,FALSE)</f>
        <v>2018</v>
      </c>
      <c r="P29" s="28" t="s">
        <v>36</v>
      </c>
    </row>
    <row r="30">
      <c r="A30" s="20" t="s">
        <v>21</v>
      </c>
      <c r="B30" s="20" t="s">
        <v>154</v>
      </c>
      <c r="C30" s="20" t="s">
        <v>155</v>
      </c>
      <c r="D30" s="20">
        <v>247.0</v>
      </c>
      <c r="E30" s="20">
        <v>146.0</v>
      </c>
      <c r="F30" s="24">
        <v>59.1</v>
      </c>
      <c r="G30" s="20">
        <v>4877.0</v>
      </c>
      <c r="H30" s="25">
        <v>19.7</v>
      </c>
      <c r="I30" s="20">
        <v>62.0</v>
      </c>
      <c r="J30" s="20">
        <v>5.0</v>
      </c>
      <c r="K30" s="17">
        <v>208.8</v>
      </c>
      <c r="L30" s="20" t="s">
        <v>156</v>
      </c>
      <c r="M30" s="20" t="s">
        <v>12</v>
      </c>
      <c r="N30" s="27">
        <v>10.0</v>
      </c>
      <c r="O30" s="20">
        <f>vlookup(N30,Superbowls!$A$2:$B$115,2,FALSE)</f>
        <v>2018</v>
      </c>
      <c r="P30" s="28" t="s">
        <v>36</v>
      </c>
    </row>
    <row r="31">
      <c r="A31" s="20" t="s">
        <v>21</v>
      </c>
      <c r="B31" s="20" t="s">
        <v>52</v>
      </c>
      <c r="C31" s="20" t="s">
        <v>53</v>
      </c>
      <c r="D31" s="20">
        <v>305.0</v>
      </c>
      <c r="E31" s="20">
        <v>183.0</v>
      </c>
      <c r="F31" s="24">
        <v>60.0</v>
      </c>
      <c r="G31" s="20">
        <v>5822.0</v>
      </c>
      <c r="H31" s="25">
        <v>19.0</v>
      </c>
      <c r="I31" s="20">
        <v>73.0</v>
      </c>
      <c r="J31" s="20">
        <v>11.0</v>
      </c>
      <c r="K31" s="17">
        <v>185.4</v>
      </c>
      <c r="L31" s="20" t="s">
        <v>54</v>
      </c>
      <c r="M31" s="20" t="s">
        <v>42</v>
      </c>
      <c r="N31" s="27">
        <v>10.0</v>
      </c>
      <c r="O31" s="20">
        <f>vlookup(N31,Superbowls!$A$2:$B$115,2,FALSE)</f>
        <v>2018</v>
      </c>
      <c r="P31" s="28" t="s">
        <v>36</v>
      </c>
    </row>
    <row r="32">
      <c r="A32" s="20" t="s">
        <v>21</v>
      </c>
      <c r="B32" s="13" t="s">
        <v>39</v>
      </c>
      <c r="C32" s="20" t="s">
        <v>40</v>
      </c>
      <c r="D32" s="20">
        <v>119.0</v>
      </c>
      <c r="E32" s="20">
        <v>82.0</v>
      </c>
      <c r="F32" s="24">
        <v>68.9</v>
      </c>
      <c r="G32" s="20">
        <v>2349.0</v>
      </c>
      <c r="H32" s="25">
        <v>19.7</v>
      </c>
      <c r="I32" s="20">
        <v>21.0</v>
      </c>
      <c r="J32" s="20">
        <v>5.0</v>
      </c>
      <c r="K32" s="17">
        <v>183.0</v>
      </c>
      <c r="L32" s="20" t="s">
        <v>34</v>
      </c>
      <c r="M32" s="20" t="s">
        <v>35</v>
      </c>
      <c r="N32" s="27">
        <v>10.0</v>
      </c>
      <c r="O32" s="20">
        <f>vlookup(N32,Superbowls!$A$2:$B$115,2,FALSE)</f>
        <v>2018</v>
      </c>
      <c r="P32" s="28" t="s">
        <v>36</v>
      </c>
    </row>
    <row r="33">
      <c r="A33" s="20" t="s">
        <v>21</v>
      </c>
      <c r="B33" s="20" t="s">
        <v>157</v>
      </c>
      <c r="C33" s="20" t="s">
        <v>158</v>
      </c>
      <c r="D33" s="20">
        <v>144.0</v>
      </c>
      <c r="E33" s="20">
        <v>117.0</v>
      </c>
      <c r="F33" s="24">
        <v>81.2</v>
      </c>
      <c r="G33" s="20">
        <v>2810.0</v>
      </c>
      <c r="H33" s="25">
        <v>19.5</v>
      </c>
      <c r="I33" s="20">
        <v>36.0</v>
      </c>
      <c r="J33" s="20">
        <v>2.0</v>
      </c>
      <c r="K33" s="17">
        <v>228.6</v>
      </c>
      <c r="L33" s="20" t="s">
        <v>112</v>
      </c>
      <c r="M33" s="20" t="s">
        <v>30</v>
      </c>
      <c r="N33" s="27">
        <v>11.0</v>
      </c>
      <c r="O33" s="20">
        <f>vlookup(N33,Superbowls!$A$2:$B$115,2,FALSE)</f>
        <v>2019</v>
      </c>
      <c r="P33" s="28" t="s">
        <v>36</v>
      </c>
    </row>
    <row r="34">
      <c r="A34" s="20" t="s">
        <v>21</v>
      </c>
      <c r="B34" s="20" t="s">
        <v>168</v>
      </c>
      <c r="C34" s="20" t="s">
        <v>126</v>
      </c>
      <c r="D34" s="20">
        <v>210.0</v>
      </c>
      <c r="E34" s="20">
        <v>152.0</v>
      </c>
      <c r="F34" s="24">
        <v>72.3</v>
      </c>
      <c r="G34" s="20">
        <v>4136.0</v>
      </c>
      <c r="H34" s="25">
        <v>19.6</v>
      </c>
      <c r="I34" s="20">
        <v>46.0</v>
      </c>
      <c r="J34" s="20">
        <v>6.0</v>
      </c>
      <c r="K34" s="17">
        <v>205.5</v>
      </c>
      <c r="L34" s="20" t="s">
        <v>57</v>
      </c>
      <c r="M34" s="20" t="s">
        <v>71</v>
      </c>
      <c r="N34" s="27">
        <v>11.0</v>
      </c>
      <c r="O34" s="20">
        <f>vlookup(N34,Superbowls!$A$2:$B$115,2,FALSE)</f>
        <v>2019</v>
      </c>
      <c r="P34" s="28" t="s">
        <v>36</v>
      </c>
    </row>
    <row r="35">
      <c r="A35" s="20" t="s">
        <v>21</v>
      </c>
      <c r="B35" s="20" t="s">
        <v>23</v>
      </c>
      <c r="C35" s="20" t="s">
        <v>25</v>
      </c>
      <c r="D35" s="20">
        <v>248.0</v>
      </c>
      <c r="E35" s="20">
        <v>153.0</v>
      </c>
      <c r="F35" s="24">
        <v>61.6</v>
      </c>
      <c r="G35" s="20">
        <v>3342.0</v>
      </c>
      <c r="H35" s="25">
        <v>13.8</v>
      </c>
      <c r="I35" s="20">
        <v>36.0</v>
      </c>
      <c r="J35" s="20">
        <v>10.0</v>
      </c>
      <c r="K35" s="17">
        <v>142.9</v>
      </c>
      <c r="L35" s="20" t="s">
        <v>29</v>
      </c>
      <c r="M35" s="20" t="s">
        <v>42</v>
      </c>
      <c r="N35" s="27">
        <v>11.0</v>
      </c>
      <c r="O35" s="20">
        <f>vlookup(N35,Superbowls!$A$2:$B$115,2,FALSE)</f>
        <v>2019</v>
      </c>
      <c r="P35" s="28" t="s">
        <v>36</v>
      </c>
    </row>
    <row r="36">
      <c r="A36" s="20" t="s">
        <v>21</v>
      </c>
      <c r="B36" s="20" t="s">
        <v>125</v>
      </c>
      <c r="C36" s="20" t="s">
        <v>126</v>
      </c>
      <c r="D36" s="20">
        <v>176.0</v>
      </c>
      <c r="E36" s="20">
        <v>111.0</v>
      </c>
      <c r="F36" s="24">
        <v>63.0</v>
      </c>
      <c r="G36" s="20">
        <v>2508.0</v>
      </c>
      <c r="H36" s="25">
        <v>14.2</v>
      </c>
      <c r="I36" s="20">
        <v>24.0</v>
      </c>
      <c r="J36" s="20">
        <v>10.0</v>
      </c>
      <c r="K36" s="17">
        <v>135.7</v>
      </c>
      <c r="L36" s="20" t="s">
        <v>107</v>
      </c>
      <c r="M36" s="20" t="s">
        <v>35</v>
      </c>
      <c r="N36" s="27">
        <v>11.0</v>
      </c>
      <c r="O36" s="20">
        <f>vlookup(N36,Superbowls!$A$2:$B$115,2,FALSE)</f>
        <v>2019</v>
      </c>
      <c r="P36" s="28" t="s">
        <v>36</v>
      </c>
    </row>
    <row r="37">
      <c r="A37" s="20" t="s">
        <v>21</v>
      </c>
      <c r="B37" s="20" t="s">
        <v>169</v>
      </c>
      <c r="C37" s="20" t="s">
        <v>132</v>
      </c>
      <c r="D37" s="20">
        <v>165.0</v>
      </c>
      <c r="E37" s="20">
        <v>123.0</v>
      </c>
      <c r="F37" s="24">
        <v>74.5</v>
      </c>
      <c r="G37" s="20">
        <v>2495.0</v>
      </c>
      <c r="H37" s="25">
        <v>15.1</v>
      </c>
      <c r="I37" s="20">
        <v>31.0</v>
      </c>
      <c r="J37" s="20">
        <v>6.0</v>
      </c>
      <c r="K37" s="17">
        <v>174.6</v>
      </c>
      <c r="L37" s="20" t="s">
        <v>101</v>
      </c>
      <c r="M37" s="20" t="s">
        <v>30</v>
      </c>
      <c r="N37" s="20">
        <v>12.0</v>
      </c>
      <c r="O37" s="20">
        <f>vlookup(N37,Superbowls!$A$2:$B$115,2,FALSE)</f>
        <v>2020</v>
      </c>
      <c r="P37" s="28" t="s">
        <v>36</v>
      </c>
    </row>
    <row r="38">
      <c r="A38" s="20" t="s">
        <v>21</v>
      </c>
      <c r="B38" s="20" t="s">
        <v>185</v>
      </c>
      <c r="C38" s="20" t="s">
        <v>186</v>
      </c>
      <c r="D38" s="20">
        <v>254.0</v>
      </c>
      <c r="E38" s="20">
        <v>179.0</v>
      </c>
      <c r="F38" s="24">
        <v>70.4</v>
      </c>
      <c r="G38" s="20">
        <v>4762.0</v>
      </c>
      <c r="H38" s="25">
        <v>18.7</v>
      </c>
      <c r="I38" s="20">
        <v>54.0</v>
      </c>
      <c r="J38" s="20">
        <v>16.0</v>
      </c>
      <c r="K38" s="17">
        <v>183.5</v>
      </c>
      <c r="L38" s="20" t="s">
        <v>41</v>
      </c>
      <c r="M38" s="20" t="s">
        <v>71</v>
      </c>
      <c r="N38" s="20">
        <v>12.0</v>
      </c>
      <c r="O38" s="20">
        <f>vlookup(N38,Superbowls!$A$2:$B$115,2,FALSE)</f>
        <v>2020</v>
      </c>
      <c r="P38" s="28" t="s">
        <v>36</v>
      </c>
    </row>
    <row r="39">
      <c r="A39" s="20" t="s">
        <v>21</v>
      </c>
      <c r="B39" s="20" t="s">
        <v>191</v>
      </c>
      <c r="C39" s="20" t="s">
        <v>193</v>
      </c>
      <c r="D39" s="20">
        <v>70.0</v>
      </c>
      <c r="E39" s="20">
        <v>40.0</v>
      </c>
      <c r="F39" s="24">
        <v>57.1</v>
      </c>
      <c r="G39" s="20">
        <v>1063.0</v>
      </c>
      <c r="H39" s="25">
        <v>15.1</v>
      </c>
      <c r="I39" s="20">
        <v>9.0</v>
      </c>
      <c r="J39" s="20">
        <v>6.0</v>
      </c>
      <c r="K39" s="17">
        <v>120.1</v>
      </c>
      <c r="L39" s="20" t="s">
        <v>161</v>
      </c>
      <c r="M39" s="20" t="s">
        <v>42</v>
      </c>
      <c r="N39" s="20">
        <v>12.0</v>
      </c>
      <c r="O39" s="20">
        <f>vlookup(N39,Superbowls!$A$2:$B$115,2,FALSE)</f>
        <v>2020</v>
      </c>
      <c r="P39" s="28" t="s">
        <v>36</v>
      </c>
    </row>
    <row r="40">
      <c r="A40" s="20" t="s">
        <v>21</v>
      </c>
      <c r="B40" s="20" t="s">
        <v>197</v>
      </c>
      <c r="C40" s="20" t="s">
        <v>167</v>
      </c>
      <c r="D40" s="20">
        <v>199.0</v>
      </c>
      <c r="E40" s="20">
        <v>124.0</v>
      </c>
      <c r="F40" s="24">
        <v>62.3</v>
      </c>
      <c r="G40" s="20">
        <v>3339.0</v>
      </c>
      <c r="H40" s="25">
        <v>16.7</v>
      </c>
      <c r="I40" s="20">
        <v>31.0</v>
      </c>
      <c r="J40" s="20">
        <v>9.0</v>
      </c>
      <c r="K40" s="17">
        <v>156.9</v>
      </c>
      <c r="L40" s="20" t="s">
        <v>121</v>
      </c>
      <c r="M40" s="20" t="s">
        <v>63</v>
      </c>
      <c r="N40" s="20">
        <v>12.0</v>
      </c>
      <c r="O40" s="20">
        <f>vlookup(N40,Superbowls!$A$2:$B$115,2,FALSE)</f>
        <v>2020</v>
      </c>
      <c r="P40" s="28" t="s">
        <v>36</v>
      </c>
    </row>
    <row r="41">
      <c r="A41" s="20" t="s">
        <v>21</v>
      </c>
      <c r="B41" s="20" t="s">
        <v>39</v>
      </c>
      <c r="C41" s="20" t="s">
        <v>40</v>
      </c>
      <c r="D41" s="20">
        <v>49.0</v>
      </c>
      <c r="E41" s="20">
        <v>38.0</v>
      </c>
      <c r="F41" s="24">
        <v>77.5</v>
      </c>
      <c r="G41" s="20">
        <v>1217.0</v>
      </c>
      <c r="H41" s="25">
        <v>24.8</v>
      </c>
      <c r="I41" s="20">
        <v>13.0</v>
      </c>
      <c r="J41" s="20">
        <v>1.0</v>
      </c>
      <c r="K41" s="17">
        <v>250.1</v>
      </c>
      <c r="L41" s="20" t="s">
        <v>34</v>
      </c>
      <c r="M41" s="20" t="s">
        <v>30</v>
      </c>
      <c r="N41" s="20">
        <v>13.0</v>
      </c>
      <c r="O41" s="20">
        <f>vlookup(N41,Superbowls!$A$2:$B$115,2,FALSE)</f>
        <v>2021</v>
      </c>
      <c r="P41" s="28" t="s">
        <v>36</v>
      </c>
    </row>
    <row r="42">
      <c r="A42" s="20" t="s">
        <v>21</v>
      </c>
      <c r="B42" s="20" t="s">
        <v>61</v>
      </c>
      <c r="C42" s="20" t="s">
        <v>21</v>
      </c>
      <c r="D42" s="20">
        <v>157.0</v>
      </c>
      <c r="E42" s="20">
        <v>110.0</v>
      </c>
      <c r="F42" s="24">
        <v>70.0</v>
      </c>
      <c r="G42" s="20">
        <v>2910.0</v>
      </c>
      <c r="H42" s="25">
        <v>18.5</v>
      </c>
      <c r="I42" s="20">
        <v>32.0</v>
      </c>
      <c r="J42" s="20">
        <v>7.0</v>
      </c>
      <c r="K42" s="17">
        <v>187.0</v>
      </c>
      <c r="L42" s="20" t="s">
        <v>62</v>
      </c>
      <c r="M42" s="20" t="s">
        <v>42</v>
      </c>
      <c r="N42" s="20">
        <v>13.0</v>
      </c>
      <c r="O42" s="20">
        <f>vlookup(N42,Superbowls!$A$2:$B$115,2,FALSE)</f>
        <v>2021</v>
      </c>
      <c r="P42" s="28" t="s">
        <v>36</v>
      </c>
    </row>
    <row r="43">
      <c r="A43" s="20" t="s">
        <v>21</v>
      </c>
      <c r="B43" s="20" t="s">
        <v>23</v>
      </c>
      <c r="C43" s="20" t="s">
        <v>25</v>
      </c>
      <c r="D43" s="20">
        <v>277.0</v>
      </c>
      <c r="E43" s="20">
        <v>229.0</v>
      </c>
      <c r="F43" s="24">
        <v>82.6</v>
      </c>
      <c r="G43" s="20">
        <v>6743.0</v>
      </c>
      <c r="H43" s="25">
        <v>24.3</v>
      </c>
      <c r="I43" s="20">
        <v>110.0</v>
      </c>
      <c r="J43" s="20">
        <v>0.0</v>
      </c>
      <c r="K43" s="17">
        <v>248.1</v>
      </c>
      <c r="L43" s="20" t="s">
        <v>29</v>
      </c>
      <c r="M43" s="20" t="s">
        <v>71</v>
      </c>
      <c r="N43" s="20">
        <v>13.0</v>
      </c>
      <c r="O43" s="20">
        <f>vlookup(N43,Superbowls!$A$2:$B$115,2,FALSE)</f>
        <v>2021</v>
      </c>
      <c r="P43" s="28" t="s">
        <v>36</v>
      </c>
    </row>
    <row r="44">
      <c r="A44" s="20" t="s">
        <v>21</v>
      </c>
      <c r="B44" s="20" t="s">
        <v>197</v>
      </c>
      <c r="C44" s="20" t="s">
        <v>167</v>
      </c>
      <c r="D44" s="20">
        <v>235.0</v>
      </c>
      <c r="E44" s="20">
        <v>154.0</v>
      </c>
      <c r="F44" s="24">
        <v>65.5</v>
      </c>
      <c r="G44" s="20">
        <v>3148.0</v>
      </c>
      <c r="H44" s="25">
        <v>13.3</v>
      </c>
      <c r="I44" s="20">
        <v>32.0</v>
      </c>
      <c r="J44" s="20">
        <v>6.0</v>
      </c>
      <c r="K44" s="17">
        <v>147.2</v>
      </c>
      <c r="L44" s="20" t="s">
        <v>121</v>
      </c>
      <c r="M44" s="20" t="s">
        <v>63</v>
      </c>
      <c r="N44" s="20">
        <v>14.0</v>
      </c>
      <c r="O44" s="20">
        <f>vlookup(N44,Superbowls!$A$2:$B$115,2,FALSE)</f>
        <v>2022</v>
      </c>
      <c r="P44" s="28" t="s">
        <v>36</v>
      </c>
    </row>
    <row r="45">
      <c r="A45" s="20" t="s">
        <v>21</v>
      </c>
      <c r="B45" s="20" t="s">
        <v>206</v>
      </c>
      <c r="C45" s="20" t="s">
        <v>126</v>
      </c>
      <c r="D45" s="20">
        <v>156.0</v>
      </c>
      <c r="E45" s="20">
        <v>102.0</v>
      </c>
      <c r="F45" s="24">
        <v>65.3</v>
      </c>
      <c r="G45" s="20">
        <v>2945.0</v>
      </c>
      <c r="H45" s="25">
        <v>18.8</v>
      </c>
      <c r="I45" s="20">
        <v>32.0</v>
      </c>
      <c r="J45" s="20">
        <v>2.0</v>
      </c>
      <c r="K45" s="17">
        <v>198.2</v>
      </c>
      <c r="L45" s="20" t="s">
        <v>57</v>
      </c>
      <c r="M45" s="20" t="s">
        <v>71</v>
      </c>
      <c r="N45" s="20">
        <v>14.0</v>
      </c>
      <c r="O45" s="20">
        <f>vlookup(N45,Superbowls!$A$2:$B$115,2,FALSE)</f>
        <v>2022</v>
      </c>
      <c r="P45" s="28" t="s">
        <v>36</v>
      </c>
    </row>
    <row r="46">
      <c r="A46" s="20" t="s">
        <v>21</v>
      </c>
      <c r="B46" s="20" t="s">
        <v>111</v>
      </c>
      <c r="C46" s="20" t="s">
        <v>113</v>
      </c>
      <c r="D46" s="20">
        <v>185.0</v>
      </c>
      <c r="E46" s="20">
        <v>108.0</v>
      </c>
      <c r="F46" s="24">
        <v>58.3</v>
      </c>
      <c r="G46" s="20">
        <v>2151.0</v>
      </c>
      <c r="H46" s="25">
        <v>11.6</v>
      </c>
      <c r="I46" s="20">
        <v>20.0</v>
      </c>
      <c r="J46" s="20">
        <v>13.0</v>
      </c>
      <c r="K46" s="17">
        <v>105.9</v>
      </c>
      <c r="L46" s="20" t="s">
        <v>114</v>
      </c>
      <c r="M46" s="20" t="s">
        <v>42</v>
      </c>
      <c r="N46" s="20">
        <v>14.0</v>
      </c>
      <c r="O46" s="20">
        <f>vlookup(N46,Superbowls!$A$2:$B$115,2,FALSE)</f>
        <v>2022</v>
      </c>
      <c r="P46" s="28" t="s">
        <v>36</v>
      </c>
    </row>
    <row r="47">
      <c r="A47" s="20" t="s">
        <v>21</v>
      </c>
      <c r="B47" s="20" t="s">
        <v>209</v>
      </c>
      <c r="C47" s="20" t="s">
        <v>167</v>
      </c>
      <c r="D47" s="20">
        <v>84.0</v>
      </c>
      <c r="E47" s="20">
        <v>59.0</v>
      </c>
      <c r="F47" s="24">
        <v>70.2</v>
      </c>
      <c r="G47" s="20">
        <v>1670.0</v>
      </c>
      <c r="H47" s="25">
        <v>19.8</v>
      </c>
      <c r="I47" s="20">
        <v>18.0</v>
      </c>
      <c r="J47" s="20">
        <v>5.0</v>
      </c>
      <c r="K47" s="17">
        <v>190.0</v>
      </c>
      <c r="L47" s="20" t="s">
        <v>107</v>
      </c>
      <c r="M47" s="20" t="s">
        <v>30</v>
      </c>
      <c r="N47" s="20">
        <v>14.0</v>
      </c>
      <c r="O47" s="20">
        <f>vlookup(N47,Superbowls!$A$2:$B$115,2,FALSE)</f>
        <v>2022</v>
      </c>
      <c r="P47" s="28" t="s">
        <v>36</v>
      </c>
    </row>
    <row r="48">
      <c r="A48" s="20" t="s">
        <v>21</v>
      </c>
      <c r="B48" s="20" t="s">
        <v>129</v>
      </c>
      <c r="C48" s="20" t="s">
        <v>130</v>
      </c>
      <c r="D48" s="20">
        <v>191.0</v>
      </c>
      <c r="E48" s="20">
        <v>108.0</v>
      </c>
      <c r="F48" s="24">
        <v>56.5</v>
      </c>
      <c r="G48" s="20">
        <v>3027.0</v>
      </c>
      <c r="H48" s="25">
        <v>15.8</v>
      </c>
      <c r="I48" s="20">
        <v>26.0</v>
      </c>
      <c r="J48" s="20">
        <v>13.0</v>
      </c>
      <c r="K48" s="17">
        <v>132.2</v>
      </c>
      <c r="L48" s="20" t="s">
        <v>131</v>
      </c>
      <c r="M48" s="20" t="s">
        <v>35</v>
      </c>
      <c r="N48" s="20">
        <v>14.0</v>
      </c>
      <c r="O48" s="20">
        <f>vlookup(N48,Superbowls!$A$2:$B$115,2,FALSE)</f>
        <v>2022</v>
      </c>
      <c r="P48" s="28" t="s">
        <v>36</v>
      </c>
    </row>
    <row r="49">
      <c r="A49" s="20" t="s">
        <v>21</v>
      </c>
      <c r="B49" s="20" t="s">
        <v>214</v>
      </c>
      <c r="C49" s="20" t="s">
        <v>59</v>
      </c>
      <c r="D49" s="20">
        <v>167.0</v>
      </c>
      <c r="E49" s="20">
        <v>104.0</v>
      </c>
      <c r="F49" s="24">
        <v>62.2</v>
      </c>
      <c r="G49" s="20">
        <v>2750.0</v>
      </c>
      <c r="H49" s="25">
        <v>16.4</v>
      </c>
      <c r="I49" s="20">
        <v>31.0</v>
      </c>
      <c r="J49" s="20">
        <v>12.0</v>
      </c>
      <c r="K49" s="17">
        <v>154.5</v>
      </c>
      <c r="L49" s="20" t="s">
        <v>70</v>
      </c>
      <c r="M49" s="20" t="s">
        <v>71</v>
      </c>
      <c r="N49" s="20">
        <v>15.0</v>
      </c>
      <c r="O49" s="20">
        <f>vlookup(N49,Superbowls!$A$2:$B$115,2,FALSE)</f>
        <v>2023</v>
      </c>
      <c r="P49" s="28" t="s">
        <v>36</v>
      </c>
    </row>
    <row r="50">
      <c r="A50" s="20" t="s">
        <v>21</v>
      </c>
      <c r="B50" s="20" t="s">
        <v>45</v>
      </c>
      <c r="C50" s="20" t="s">
        <v>46</v>
      </c>
      <c r="D50" s="20">
        <v>139.0</v>
      </c>
      <c r="E50" s="20">
        <v>95.0</v>
      </c>
      <c r="F50" s="24">
        <v>68.3</v>
      </c>
      <c r="G50" s="20">
        <v>2066.0</v>
      </c>
      <c r="H50" s="25">
        <v>14.8</v>
      </c>
      <c r="I50" s="20">
        <v>15.0</v>
      </c>
      <c r="J50" s="20">
        <v>10.0</v>
      </c>
      <c r="K50" s="17">
        <v>126.9</v>
      </c>
      <c r="L50" s="20" t="s">
        <v>47</v>
      </c>
      <c r="M50" s="20" t="s">
        <v>42</v>
      </c>
      <c r="N50" s="20">
        <v>15.0</v>
      </c>
      <c r="O50" s="20">
        <f>vlookup(N50,Superbowls!$A$2:$B$115,2,FALSE)</f>
        <v>2023</v>
      </c>
      <c r="P50" s="28" t="s">
        <v>36</v>
      </c>
    </row>
    <row r="51">
      <c r="A51" s="20" t="s">
        <v>21</v>
      </c>
      <c r="B51" s="20" t="s">
        <v>157</v>
      </c>
      <c r="C51" s="20" t="s">
        <v>158</v>
      </c>
      <c r="D51" s="20">
        <v>214.0</v>
      </c>
      <c r="E51" s="20">
        <v>165.0</v>
      </c>
      <c r="F51" s="24">
        <v>77.1</v>
      </c>
      <c r="G51" s="20">
        <v>3731.0</v>
      </c>
      <c r="H51" s="25">
        <v>17.4</v>
      </c>
      <c r="I51" s="20">
        <v>40.0</v>
      </c>
      <c r="J51" s="20">
        <v>9.0</v>
      </c>
      <c r="K51" s="17">
        <v>183.7</v>
      </c>
      <c r="L51" s="20" t="s">
        <v>112</v>
      </c>
      <c r="M51" s="20" t="s">
        <v>35</v>
      </c>
      <c r="N51" s="20">
        <v>15.0</v>
      </c>
      <c r="O51" s="20">
        <f>vlookup(N51,Superbowls!$A$2:$B$115,2,FALSE)</f>
        <v>2023</v>
      </c>
      <c r="P51" s="28" t="s">
        <v>36</v>
      </c>
    </row>
    <row r="52">
      <c r="A52" s="20" t="s">
        <v>21</v>
      </c>
      <c r="B52" s="20" t="s">
        <v>191</v>
      </c>
      <c r="C52" s="20" t="s">
        <v>193</v>
      </c>
      <c r="D52" s="20">
        <v>87.0</v>
      </c>
      <c r="E52" s="20">
        <v>57.0</v>
      </c>
      <c r="F52" s="24">
        <v>65.5</v>
      </c>
      <c r="G52" s="20">
        <v>1384.0</v>
      </c>
      <c r="H52" s="25">
        <v>15.9</v>
      </c>
      <c r="I52" s="20">
        <v>13.0</v>
      </c>
      <c r="J52" s="20">
        <v>3.0</v>
      </c>
      <c r="K52" s="17">
        <v>158.4</v>
      </c>
      <c r="L52" s="20" t="s">
        <v>161</v>
      </c>
      <c r="M52" s="20" t="s">
        <v>30</v>
      </c>
      <c r="N52" s="20">
        <v>15.0</v>
      </c>
      <c r="O52" s="20">
        <f>vlookup(N52,Superbowls!$A$2:$B$115,2,FALSE)</f>
        <v>2023</v>
      </c>
      <c r="P52" s="28" t="s">
        <v>36</v>
      </c>
    </row>
    <row r="53">
      <c r="A53" s="20" t="s">
        <v>21</v>
      </c>
      <c r="B53" s="20" t="s">
        <v>80</v>
      </c>
      <c r="C53" s="20" t="s">
        <v>21</v>
      </c>
      <c r="D53" s="20">
        <v>109.0</v>
      </c>
      <c r="E53" s="20">
        <v>88.0</v>
      </c>
      <c r="F53" s="24">
        <v>80.7</v>
      </c>
      <c r="G53" s="20">
        <v>2493.0</v>
      </c>
      <c r="H53" s="25">
        <v>22.8</v>
      </c>
      <c r="I53" s="20">
        <v>25.0</v>
      </c>
      <c r="J53" s="20">
        <v>1.0</v>
      </c>
      <c r="K53" s="17">
        <v>237.2</v>
      </c>
      <c r="L53" s="20" t="s">
        <v>81</v>
      </c>
      <c r="M53" s="20" t="s">
        <v>30</v>
      </c>
      <c r="N53" s="20">
        <v>16.0</v>
      </c>
      <c r="O53" s="28">
        <v>2024.0</v>
      </c>
      <c r="P53" s="28" t="s">
        <v>36</v>
      </c>
    </row>
    <row r="54">
      <c r="A54" s="20" t="s">
        <v>21</v>
      </c>
      <c r="B54" s="20" t="s">
        <v>218</v>
      </c>
      <c r="C54" s="20" t="s">
        <v>126</v>
      </c>
      <c r="D54" s="20">
        <v>87.0</v>
      </c>
      <c r="E54" s="20">
        <v>52.0</v>
      </c>
      <c r="F54" s="24">
        <v>59.7</v>
      </c>
      <c r="G54" s="20">
        <v>1377.0</v>
      </c>
      <c r="H54" s="25">
        <v>15.8</v>
      </c>
      <c r="I54" s="20">
        <v>13.0</v>
      </c>
      <c r="J54" s="20">
        <v>9.0</v>
      </c>
      <c r="K54" s="17">
        <v>124.5</v>
      </c>
      <c r="L54" s="20" t="s">
        <v>102</v>
      </c>
      <c r="M54" s="20" t="s">
        <v>63</v>
      </c>
      <c r="N54" s="20">
        <v>16.0</v>
      </c>
      <c r="O54" s="28">
        <v>2024.0</v>
      </c>
      <c r="P54" s="28" t="s">
        <v>36</v>
      </c>
    </row>
    <row r="55">
      <c r="A55" s="20" t="s">
        <v>21</v>
      </c>
      <c r="B55" s="20" t="s">
        <v>99</v>
      </c>
      <c r="C55" s="20" t="s">
        <v>100</v>
      </c>
      <c r="D55" s="20">
        <v>112.0</v>
      </c>
      <c r="E55" s="20">
        <v>66.0</v>
      </c>
      <c r="F55" s="24">
        <v>58.9</v>
      </c>
      <c r="G55" s="20">
        <v>1823.0</v>
      </c>
      <c r="H55" s="25">
        <v>16.2</v>
      </c>
      <c r="I55" s="20">
        <v>16.0</v>
      </c>
      <c r="J55" s="20">
        <v>10.0</v>
      </c>
      <c r="K55" s="17">
        <v>129.4</v>
      </c>
      <c r="L55" s="20" t="s">
        <v>102</v>
      </c>
      <c r="M55" s="20" t="s">
        <v>63</v>
      </c>
      <c r="N55" s="20">
        <v>16.0</v>
      </c>
      <c r="O55" s="28">
        <v>2024.0</v>
      </c>
      <c r="P55" s="28" t="s">
        <v>36</v>
      </c>
    </row>
    <row r="56">
      <c r="A56" s="20" t="s">
        <v>21</v>
      </c>
      <c r="B56" s="20" t="s">
        <v>169</v>
      </c>
      <c r="C56" s="20" t="s">
        <v>132</v>
      </c>
      <c r="D56" s="20">
        <v>195.0</v>
      </c>
      <c r="E56" s="20">
        <v>139.0</v>
      </c>
      <c r="F56" s="24">
        <v>71.2</v>
      </c>
      <c r="G56" s="20">
        <v>3236.0</v>
      </c>
      <c r="H56" s="25">
        <v>16.5</v>
      </c>
      <c r="I56" s="20">
        <v>36.0</v>
      </c>
      <c r="J56" s="20">
        <v>6.0</v>
      </c>
      <c r="K56" s="17">
        <v>179.3</v>
      </c>
      <c r="L56" s="20" t="s">
        <v>101</v>
      </c>
      <c r="M56" s="20" t="s">
        <v>35</v>
      </c>
      <c r="N56" s="20">
        <v>16.0</v>
      </c>
      <c r="O56" s="28">
        <v>2024.0</v>
      </c>
      <c r="P56" s="28" t="s">
        <v>36</v>
      </c>
    </row>
    <row r="57">
      <c r="A57" s="20" t="s">
        <v>21</v>
      </c>
      <c r="B57" s="20" t="s">
        <v>85</v>
      </c>
      <c r="C57" s="20" t="s">
        <v>86</v>
      </c>
      <c r="D57" s="20">
        <v>188.0</v>
      </c>
      <c r="E57" s="20">
        <v>109.0</v>
      </c>
      <c r="F57" s="24">
        <v>57.4</v>
      </c>
      <c r="G57" s="20">
        <v>3460.0</v>
      </c>
      <c r="H57" s="25">
        <v>18.4</v>
      </c>
      <c r="I57" s="20">
        <v>30.0</v>
      </c>
      <c r="J57" s="20">
        <v>13.0</v>
      </c>
      <c r="K57" s="17">
        <v>151.4</v>
      </c>
      <c r="L57" s="20" t="s">
        <v>89</v>
      </c>
      <c r="M57" s="20" t="s">
        <v>175</v>
      </c>
      <c r="N57" s="20">
        <v>16.0</v>
      </c>
      <c r="O57" s="28">
        <v>2024.0</v>
      </c>
      <c r="P57" s="28" t="s">
        <v>36</v>
      </c>
    </row>
    <row r="58">
      <c r="A58" s="20" t="s">
        <v>21</v>
      </c>
      <c r="B58" s="20" t="s">
        <v>221</v>
      </c>
      <c r="C58" s="20" t="s">
        <v>222</v>
      </c>
      <c r="D58" s="20">
        <v>80.0</v>
      </c>
      <c r="E58" s="20">
        <v>49.0</v>
      </c>
      <c r="F58" s="24">
        <v>61.2</v>
      </c>
      <c r="G58" s="20">
        <v>1282.0</v>
      </c>
      <c r="H58" s="25">
        <v>16.0</v>
      </c>
      <c r="I58" s="20">
        <v>17.0</v>
      </c>
      <c r="J58" s="20">
        <v>7.0</v>
      </c>
      <c r="K58" s="17">
        <v>154.2</v>
      </c>
      <c r="L58" s="20" t="s">
        <v>145</v>
      </c>
      <c r="M58" s="20" t="s">
        <v>42</v>
      </c>
      <c r="N58" s="20">
        <v>16.0</v>
      </c>
      <c r="O58" s="28">
        <v>2024.0</v>
      </c>
      <c r="P58" s="28" t="s">
        <v>36</v>
      </c>
    </row>
    <row r="59">
      <c r="A59" s="29" t="s">
        <v>21</v>
      </c>
      <c r="B59" s="29" t="s">
        <v>80</v>
      </c>
      <c r="C59" s="29" t="s">
        <v>21</v>
      </c>
      <c r="D59" s="30">
        <v>266.0</v>
      </c>
      <c r="E59" s="30">
        <v>181.0</v>
      </c>
      <c r="F59" s="31">
        <v>68.0</v>
      </c>
      <c r="G59" s="30">
        <v>4643.0</v>
      </c>
      <c r="H59" s="32">
        <v>17.4</v>
      </c>
      <c r="I59" s="30">
        <v>44.0</v>
      </c>
      <c r="J59" s="30">
        <v>4.0</v>
      </c>
      <c r="K59" s="33">
        <v>180.3</v>
      </c>
      <c r="L59" s="29" t="s">
        <v>81</v>
      </c>
      <c r="M59" s="29" t="s">
        <v>187</v>
      </c>
      <c r="N59" s="30">
        <v>17.0</v>
      </c>
      <c r="O59" s="34">
        <v>2025.0</v>
      </c>
      <c r="P59" s="35" t="s">
        <v>36</v>
      </c>
    </row>
    <row r="60">
      <c r="A60" s="29" t="s">
        <v>21</v>
      </c>
      <c r="B60" s="29" t="s">
        <v>23</v>
      </c>
      <c r="C60" s="29" t="s">
        <v>25</v>
      </c>
      <c r="D60" s="30">
        <v>249.0</v>
      </c>
      <c r="E60" s="30">
        <v>217.0</v>
      </c>
      <c r="F60" s="31">
        <v>87.1</v>
      </c>
      <c r="G60" s="30">
        <v>5129.0</v>
      </c>
      <c r="H60" s="32">
        <v>20.6</v>
      </c>
      <c r="I60" s="30">
        <v>65.0</v>
      </c>
      <c r="J60" s="30">
        <v>2.0</v>
      </c>
      <c r="K60" s="33">
        <v>241.5</v>
      </c>
      <c r="L60" s="29" t="s">
        <v>29</v>
      </c>
      <c r="M60" s="29" t="s">
        <v>35</v>
      </c>
      <c r="N60" s="30">
        <v>17.0</v>
      </c>
      <c r="O60" s="34">
        <v>2025.0</v>
      </c>
      <c r="P60" s="35" t="s">
        <v>36</v>
      </c>
    </row>
    <row r="61">
      <c r="A61" s="20" t="s">
        <v>21</v>
      </c>
      <c r="B61" s="20" t="s">
        <v>80</v>
      </c>
      <c r="C61" s="20" t="s">
        <v>21</v>
      </c>
      <c r="D61" s="36">
        <v>258.0</v>
      </c>
      <c r="E61" s="36">
        <v>191.0</v>
      </c>
      <c r="F61" s="37">
        <v>74.0</v>
      </c>
      <c r="G61" s="36">
        <v>4919.0</v>
      </c>
      <c r="H61" s="38">
        <v>19.0</v>
      </c>
      <c r="I61" s="36">
        <v>67.0</v>
      </c>
      <c r="J61" s="36">
        <v>2.0</v>
      </c>
      <c r="K61" s="39">
        <v>221.3</v>
      </c>
      <c r="L61" s="20" t="s">
        <v>81</v>
      </c>
      <c r="M61" s="20" t="s">
        <v>187</v>
      </c>
      <c r="N61" s="36">
        <v>18.0</v>
      </c>
      <c r="O61" s="40">
        <v>2025.0</v>
      </c>
      <c r="P61" s="41" t="s">
        <v>36</v>
      </c>
    </row>
    <row r="62">
      <c r="A62" s="20" t="s">
        <v>21</v>
      </c>
      <c r="B62" s="20" t="s">
        <v>58</v>
      </c>
      <c r="C62" s="20" t="s">
        <v>59</v>
      </c>
      <c r="D62" s="36">
        <v>200.0</v>
      </c>
      <c r="E62" s="36">
        <v>162.0</v>
      </c>
      <c r="F62" s="37">
        <v>81.0</v>
      </c>
      <c r="G62" s="36">
        <v>4206.0</v>
      </c>
      <c r="H62" s="38">
        <v>21.0</v>
      </c>
      <c r="I62" s="36">
        <v>49.0</v>
      </c>
      <c r="J62" s="36">
        <v>3.0</v>
      </c>
      <c r="K62" s="39">
        <v>232.6</v>
      </c>
      <c r="L62" s="20" t="s">
        <v>60</v>
      </c>
      <c r="M62" s="20" t="s">
        <v>35</v>
      </c>
      <c r="N62" s="36">
        <v>18.0</v>
      </c>
      <c r="O62" s="40">
        <v>2025.0</v>
      </c>
      <c r="P62" s="41" t="s">
        <v>36</v>
      </c>
    </row>
    <row r="63">
      <c r="A63" s="20" t="s">
        <v>21</v>
      </c>
      <c r="B63" s="20" t="s">
        <v>80</v>
      </c>
      <c r="C63" s="20" t="s">
        <v>21</v>
      </c>
      <c r="D63" s="36">
        <v>263.0</v>
      </c>
      <c r="E63" s="36">
        <v>196.0</v>
      </c>
      <c r="F63" s="37">
        <v>74.5</v>
      </c>
      <c r="G63" s="36">
        <v>4955.0</v>
      </c>
      <c r="H63" s="38">
        <v>18.8</v>
      </c>
      <c r="I63" s="36">
        <v>50.0</v>
      </c>
      <c r="J63" s="36">
        <v>5.0</v>
      </c>
      <c r="K63" s="39">
        <v>198.1</v>
      </c>
      <c r="L63" s="20" t="s">
        <v>81</v>
      </c>
      <c r="M63" s="20" t="s">
        <v>187</v>
      </c>
      <c r="N63" s="36">
        <v>19.0</v>
      </c>
      <c r="O63" s="40">
        <v>2025.0</v>
      </c>
      <c r="P63" s="41" t="s">
        <v>36</v>
      </c>
    </row>
    <row r="64">
      <c r="A64" s="20" t="s">
        <v>21</v>
      </c>
      <c r="B64" s="20" t="s">
        <v>45</v>
      </c>
      <c r="C64" s="20" t="s">
        <v>46</v>
      </c>
      <c r="D64" s="36">
        <v>52.0</v>
      </c>
      <c r="E64" s="36">
        <v>34.0</v>
      </c>
      <c r="F64" s="37">
        <v>65.3</v>
      </c>
      <c r="G64" s="36">
        <v>892.0</v>
      </c>
      <c r="H64" s="38">
        <v>17.1</v>
      </c>
      <c r="I64" s="36">
        <v>5.0</v>
      </c>
      <c r="J64" s="36">
        <v>3.0</v>
      </c>
      <c r="K64" s="39">
        <v>136.0</v>
      </c>
      <c r="L64" s="20" t="s">
        <v>47</v>
      </c>
      <c r="M64" s="20" t="s">
        <v>35</v>
      </c>
      <c r="N64" s="36">
        <v>19.0</v>
      </c>
      <c r="O64" s="40">
        <v>2025.0</v>
      </c>
      <c r="P64" s="41" t="s">
        <v>36</v>
      </c>
    </row>
    <row r="65">
      <c r="A65" s="20" t="s">
        <v>21</v>
      </c>
      <c r="B65" s="20" t="s">
        <v>45</v>
      </c>
      <c r="C65" s="20" t="s">
        <v>46</v>
      </c>
      <c r="D65" s="36">
        <v>177.0</v>
      </c>
      <c r="E65" s="36">
        <v>135.0</v>
      </c>
      <c r="F65" s="37">
        <v>76.2</v>
      </c>
      <c r="G65" s="36">
        <v>3286.0</v>
      </c>
      <c r="H65" s="38">
        <v>18.5</v>
      </c>
      <c r="I65" s="36">
        <v>41.0</v>
      </c>
      <c r="J65" s="36">
        <v>7.0</v>
      </c>
      <c r="K65" s="39">
        <v>203.7</v>
      </c>
      <c r="L65" s="20" t="s">
        <v>47</v>
      </c>
      <c r="M65" s="20" t="s">
        <v>30</v>
      </c>
      <c r="N65" s="36">
        <v>20.0</v>
      </c>
      <c r="O65" s="40">
        <v>2025.0</v>
      </c>
      <c r="P65" s="41" t="s">
        <v>36</v>
      </c>
    </row>
    <row r="66">
      <c r="A66" s="20" t="s">
        <v>21</v>
      </c>
      <c r="B66" s="20" t="s">
        <v>125</v>
      </c>
      <c r="C66" s="20" t="s">
        <v>126</v>
      </c>
      <c r="D66" s="36">
        <v>184.0</v>
      </c>
      <c r="E66" s="36">
        <v>87.0</v>
      </c>
      <c r="F66" s="37">
        <v>47.2</v>
      </c>
      <c r="G66" s="36">
        <v>2258.0</v>
      </c>
      <c r="H66" s="38">
        <v>12.2</v>
      </c>
      <c r="I66" s="36">
        <v>20.0</v>
      </c>
      <c r="J66" s="36">
        <v>17.0</v>
      </c>
      <c r="K66" s="39">
        <v>90.3</v>
      </c>
      <c r="L66" s="20" t="s">
        <v>107</v>
      </c>
      <c r="M66" s="20" t="s">
        <v>205</v>
      </c>
      <c r="N66" s="36">
        <v>20.0</v>
      </c>
      <c r="O66" s="40">
        <v>2025.0</v>
      </c>
      <c r="P66" s="41" t="s">
        <v>36</v>
      </c>
    </row>
    <row r="67">
      <c r="A67" s="20" t="s">
        <v>21</v>
      </c>
      <c r="B67" s="20" t="s">
        <v>197</v>
      </c>
      <c r="C67" s="20" t="s">
        <v>167</v>
      </c>
      <c r="D67" s="36">
        <v>168.0</v>
      </c>
      <c r="E67" s="36">
        <v>115.0</v>
      </c>
      <c r="F67" s="37">
        <v>68.4</v>
      </c>
      <c r="G67" s="36">
        <v>2674.0</v>
      </c>
      <c r="H67" s="38">
        <v>15.9</v>
      </c>
      <c r="I67" s="36">
        <v>31.0</v>
      </c>
      <c r="J67" s="36">
        <v>6.0</v>
      </c>
      <c r="K67" s="39">
        <v>172.0</v>
      </c>
      <c r="L67" s="20" t="s">
        <v>121</v>
      </c>
      <c r="M67" s="20" t="s">
        <v>30</v>
      </c>
      <c r="N67" s="36">
        <v>21.0</v>
      </c>
      <c r="O67" s="40">
        <v>2026.0</v>
      </c>
      <c r="P67" s="41" t="s">
        <v>36</v>
      </c>
    </row>
    <row r="68">
      <c r="A68" s="20" t="s">
        <v>21</v>
      </c>
      <c r="B68" s="20" t="s">
        <v>61</v>
      </c>
      <c r="C68" s="20" t="s">
        <v>21</v>
      </c>
      <c r="D68" s="36">
        <v>210.0</v>
      </c>
      <c r="E68" s="36">
        <v>118.0</v>
      </c>
      <c r="F68" s="37">
        <v>56.1</v>
      </c>
      <c r="G68" s="36">
        <v>2997.0</v>
      </c>
      <c r="H68" s="38">
        <v>14.2</v>
      </c>
      <c r="I68" s="36">
        <v>25.0</v>
      </c>
      <c r="J68" s="36">
        <v>12.0</v>
      </c>
      <c r="K68" s="39">
        <v>124.2</v>
      </c>
      <c r="L68" s="20" t="s">
        <v>62</v>
      </c>
      <c r="M68" s="20" t="s">
        <v>205</v>
      </c>
      <c r="N68" s="36">
        <v>21.0</v>
      </c>
      <c r="O68" s="40">
        <v>2026.0</v>
      </c>
      <c r="P68" s="41" t="s">
        <v>36</v>
      </c>
    </row>
    <row r="69">
      <c r="A69" s="20"/>
      <c r="B69" s="20"/>
      <c r="C69" s="20"/>
      <c r="D69" s="36"/>
      <c r="E69" s="36"/>
      <c r="F69" s="37"/>
      <c r="G69" s="36"/>
      <c r="H69" s="38"/>
      <c r="I69" s="36"/>
      <c r="J69" s="36"/>
      <c r="K69" s="39"/>
      <c r="L69" s="20"/>
      <c r="M69" s="20"/>
      <c r="N69" s="36"/>
      <c r="O69" s="40"/>
      <c r="P69" s="41"/>
    </row>
    <row r="70">
      <c r="A70" s="20"/>
      <c r="B70" s="20"/>
      <c r="C70" s="20"/>
      <c r="D70" s="36"/>
      <c r="E70" s="36"/>
      <c r="F70" s="37"/>
      <c r="G70" s="36"/>
      <c r="H70" s="38"/>
      <c r="I70" s="36"/>
      <c r="J70" s="36"/>
      <c r="K70" s="39"/>
      <c r="L70" s="20"/>
      <c r="M70" s="20"/>
      <c r="N70" s="36"/>
      <c r="O70" s="40"/>
      <c r="P70" s="41"/>
    </row>
    <row r="71">
      <c r="A71" s="20"/>
      <c r="B71" s="20"/>
      <c r="C71" s="20"/>
      <c r="D71" s="36"/>
      <c r="E71" s="36"/>
      <c r="F71" s="37"/>
      <c r="G71" s="36"/>
      <c r="H71" s="38"/>
      <c r="I71" s="36"/>
      <c r="J71" s="36"/>
      <c r="K71" s="39"/>
      <c r="L71" s="20"/>
      <c r="M71" s="20"/>
      <c r="N71" s="36"/>
      <c r="O71" s="40"/>
      <c r="P71" s="41"/>
    </row>
    <row r="72">
      <c r="A72" s="20"/>
      <c r="B72" s="20"/>
      <c r="C72" s="20"/>
      <c r="D72" s="36"/>
      <c r="E72" s="36"/>
      <c r="F72" s="37"/>
      <c r="G72" s="36"/>
      <c r="H72" s="38"/>
      <c r="I72" s="36"/>
      <c r="J72" s="36"/>
      <c r="K72" s="39"/>
      <c r="L72" s="20"/>
      <c r="M72" s="20"/>
      <c r="N72" s="36"/>
      <c r="O72" s="40"/>
      <c r="P72" s="41"/>
    </row>
    <row r="73">
      <c r="A73" s="20"/>
      <c r="B73" s="20"/>
      <c r="C73" s="20"/>
      <c r="D73" s="36"/>
      <c r="E73" s="36"/>
      <c r="F73" s="37"/>
      <c r="G73" s="36"/>
      <c r="H73" s="38"/>
      <c r="I73" s="36"/>
      <c r="J73" s="36"/>
      <c r="K73" s="39"/>
      <c r="L73" s="20"/>
      <c r="M73" s="20"/>
      <c r="N73" s="36"/>
      <c r="O73" s="40"/>
      <c r="P73" s="41"/>
    </row>
    <row r="74">
      <c r="A74" s="20"/>
      <c r="B74" s="20"/>
      <c r="C74" s="20"/>
      <c r="D74" s="36"/>
      <c r="E74" s="36"/>
      <c r="F74" s="37"/>
      <c r="G74" s="36"/>
      <c r="H74" s="38"/>
      <c r="I74" s="36"/>
      <c r="J74" s="36"/>
      <c r="K74" s="39"/>
      <c r="L74" s="20"/>
      <c r="M74" s="20"/>
      <c r="N74" s="36"/>
      <c r="O74" s="40"/>
      <c r="P74" s="41"/>
    </row>
    <row r="75">
      <c r="A75" s="20"/>
      <c r="B75" s="20"/>
      <c r="C75" s="20"/>
      <c r="D75" s="36"/>
      <c r="E75" s="36"/>
      <c r="F75" s="37"/>
      <c r="G75" s="36"/>
      <c r="H75" s="38"/>
      <c r="I75" s="36"/>
      <c r="J75" s="36"/>
      <c r="K75" s="39"/>
      <c r="L75" s="20"/>
      <c r="M75" s="20"/>
      <c r="N75" s="36"/>
      <c r="O75" s="40"/>
      <c r="P75" s="41"/>
    </row>
    <row r="76">
      <c r="A76" s="20"/>
      <c r="B76" s="20"/>
      <c r="C76" s="20"/>
      <c r="D76" s="36"/>
      <c r="E76" s="36"/>
      <c r="F76" s="37"/>
      <c r="G76" s="36"/>
      <c r="H76" s="38"/>
      <c r="I76" s="36"/>
      <c r="J76" s="36"/>
      <c r="K76" s="39"/>
      <c r="L76" s="20"/>
      <c r="M76" s="20"/>
      <c r="N76" s="36"/>
      <c r="O76" s="40"/>
      <c r="P76" s="41"/>
    </row>
    <row r="77">
      <c r="A77" s="20"/>
      <c r="B77" s="20"/>
      <c r="C77" s="20"/>
      <c r="D77" s="36"/>
      <c r="E77" s="36"/>
      <c r="F77" s="37"/>
      <c r="G77" s="36"/>
      <c r="H77" s="38"/>
      <c r="I77" s="36"/>
      <c r="J77" s="36"/>
      <c r="K77" s="39"/>
      <c r="L77" s="20"/>
      <c r="M77" s="20"/>
      <c r="N77" s="36"/>
      <c r="O77" s="40"/>
      <c r="P77" s="41"/>
    </row>
    <row r="78">
      <c r="A78" s="20"/>
      <c r="B78" s="20"/>
      <c r="C78" s="20"/>
      <c r="D78" s="36"/>
      <c r="E78" s="36"/>
      <c r="F78" s="37"/>
      <c r="G78" s="36"/>
      <c r="H78" s="38"/>
      <c r="I78" s="36"/>
      <c r="J78" s="36"/>
      <c r="K78" s="39"/>
      <c r="L78" s="20"/>
      <c r="M78" s="20"/>
      <c r="N78" s="36"/>
      <c r="O78" s="40"/>
      <c r="P78" s="41"/>
    </row>
    <row r="79">
      <c r="A79" s="20"/>
      <c r="B79" s="20"/>
      <c r="C79" s="20"/>
      <c r="D79" s="36"/>
      <c r="E79" s="36"/>
      <c r="F79" s="37"/>
      <c r="G79" s="36"/>
      <c r="H79" s="38"/>
      <c r="I79" s="36"/>
      <c r="J79" s="36"/>
      <c r="K79" s="39"/>
      <c r="L79" s="20"/>
      <c r="M79" s="20"/>
      <c r="N79" s="36"/>
      <c r="O79" s="40"/>
      <c r="P79" s="41"/>
    </row>
    <row r="80">
      <c r="A80" s="20"/>
      <c r="B80" s="20"/>
      <c r="C80" s="20"/>
      <c r="D80" s="36"/>
      <c r="E80" s="36"/>
      <c r="F80" s="37"/>
      <c r="G80" s="36"/>
      <c r="H80" s="38"/>
      <c r="I80" s="36"/>
      <c r="J80" s="36"/>
      <c r="K80" s="39"/>
      <c r="L80" s="20"/>
      <c r="M80" s="20"/>
      <c r="N80" s="36"/>
      <c r="O80" s="40"/>
      <c r="P80" s="41"/>
    </row>
    <row r="81">
      <c r="A81" s="20"/>
      <c r="B81" s="20"/>
      <c r="C81" s="20"/>
      <c r="D81" s="36"/>
      <c r="E81" s="36"/>
      <c r="F81" s="37"/>
      <c r="G81" s="36"/>
      <c r="H81" s="38"/>
      <c r="I81" s="36"/>
      <c r="J81" s="36"/>
      <c r="K81" s="39"/>
      <c r="L81" s="20"/>
      <c r="M81" s="20"/>
      <c r="N81" s="36"/>
      <c r="O81" s="40"/>
      <c r="P81" s="41"/>
    </row>
    <row r="82">
      <c r="A82" s="20"/>
      <c r="B82" s="20"/>
      <c r="C82" s="20"/>
      <c r="D82" s="36"/>
      <c r="E82" s="36"/>
      <c r="F82" s="37"/>
      <c r="G82" s="36"/>
      <c r="H82" s="38"/>
      <c r="I82" s="36"/>
      <c r="J82" s="36"/>
      <c r="K82" s="39"/>
      <c r="L82" s="20"/>
      <c r="M82" s="20"/>
      <c r="N82" s="36"/>
      <c r="O82" s="40"/>
      <c r="P82" s="41"/>
    </row>
    <row r="83">
      <c r="A83" s="20"/>
      <c r="B83" s="20"/>
      <c r="C83" s="20"/>
      <c r="D83" s="36"/>
      <c r="E83" s="36"/>
      <c r="F83" s="37"/>
      <c r="G83" s="36"/>
      <c r="H83" s="38"/>
      <c r="I83" s="36"/>
      <c r="J83" s="36"/>
      <c r="K83" s="39"/>
      <c r="L83" s="20"/>
      <c r="M83" s="20"/>
      <c r="N83" s="36"/>
      <c r="O83" s="40"/>
      <c r="P83" s="41"/>
    </row>
    <row r="84">
      <c r="A84" s="20"/>
      <c r="B84" s="20"/>
      <c r="C84" s="20"/>
      <c r="D84" s="36"/>
      <c r="E84" s="36"/>
      <c r="F84" s="37"/>
      <c r="G84" s="36"/>
      <c r="H84" s="38"/>
      <c r="I84" s="36"/>
      <c r="J84" s="36"/>
      <c r="K84" s="39"/>
      <c r="L84" s="20"/>
      <c r="M84" s="20"/>
      <c r="N84" s="36"/>
      <c r="O84" s="40"/>
      <c r="P84" s="41"/>
    </row>
    <row r="85">
      <c r="A85" s="20"/>
      <c r="B85" s="20"/>
      <c r="C85" s="20"/>
      <c r="D85" s="36"/>
      <c r="E85" s="36"/>
      <c r="F85" s="37"/>
      <c r="G85" s="36"/>
      <c r="H85" s="38"/>
      <c r="I85" s="36"/>
      <c r="J85" s="36"/>
      <c r="K85" s="39"/>
      <c r="L85" s="20"/>
      <c r="M85" s="20"/>
      <c r="N85" s="36"/>
      <c r="O85" s="40"/>
      <c r="P85" s="41"/>
    </row>
    <row r="86">
      <c r="A86" s="20"/>
      <c r="B86" s="20"/>
      <c r="C86" s="20"/>
      <c r="D86" s="36"/>
      <c r="E86" s="36"/>
      <c r="F86" s="37"/>
      <c r="G86" s="36"/>
      <c r="H86" s="38"/>
      <c r="I86" s="36"/>
      <c r="J86" s="36"/>
      <c r="K86" s="39"/>
      <c r="L86" s="20"/>
      <c r="M86" s="20"/>
      <c r="N86" s="36"/>
      <c r="O86" s="40"/>
      <c r="P86" s="41"/>
    </row>
    <row r="87">
      <c r="A87" s="20"/>
      <c r="B87" s="20"/>
      <c r="C87" s="20"/>
      <c r="D87" s="36"/>
      <c r="E87" s="36"/>
      <c r="F87" s="37"/>
      <c r="G87" s="36"/>
      <c r="H87" s="38"/>
      <c r="I87" s="36"/>
      <c r="J87" s="36"/>
      <c r="K87" s="39"/>
      <c r="L87" s="20"/>
      <c r="M87" s="20"/>
      <c r="N87" s="36"/>
      <c r="O87" s="40"/>
      <c r="P87" s="41"/>
    </row>
    <row r="88">
      <c r="A88" s="20"/>
      <c r="B88" s="20"/>
      <c r="C88" s="20"/>
      <c r="D88" s="36"/>
      <c r="E88" s="36"/>
      <c r="F88" s="37"/>
      <c r="G88" s="36"/>
      <c r="H88" s="38"/>
      <c r="I88" s="36"/>
      <c r="J88" s="36"/>
      <c r="K88" s="39"/>
      <c r="L88" s="20"/>
      <c r="M88" s="20"/>
      <c r="N88" s="36"/>
      <c r="O88" s="40"/>
      <c r="P88" s="41"/>
    </row>
    <row r="89">
      <c r="A89" s="20"/>
      <c r="B89" s="20"/>
      <c r="C89" s="20"/>
      <c r="D89" s="36"/>
      <c r="E89" s="36"/>
      <c r="F89" s="37"/>
      <c r="G89" s="36"/>
      <c r="H89" s="38"/>
      <c r="I89" s="36"/>
      <c r="J89" s="36"/>
      <c r="K89" s="39"/>
      <c r="L89" s="20"/>
      <c r="M89" s="20"/>
      <c r="N89" s="36"/>
      <c r="O89" s="40"/>
      <c r="P89" s="41"/>
    </row>
    <row r="90">
      <c r="A90" s="20"/>
      <c r="B90" s="20"/>
      <c r="C90" s="20"/>
      <c r="D90" s="36"/>
      <c r="E90" s="36"/>
      <c r="F90" s="37"/>
      <c r="G90" s="36"/>
      <c r="H90" s="38"/>
      <c r="I90" s="36"/>
      <c r="J90" s="36"/>
      <c r="K90" s="39"/>
      <c r="L90" s="20"/>
      <c r="M90" s="20"/>
      <c r="N90" s="36"/>
      <c r="O90" s="40"/>
      <c r="P90" s="41"/>
    </row>
    <row r="91">
      <c r="A91" s="20"/>
      <c r="B91" s="20"/>
      <c r="C91" s="20"/>
      <c r="D91" s="36"/>
      <c r="E91" s="36"/>
      <c r="F91" s="37"/>
      <c r="G91" s="36"/>
      <c r="H91" s="38"/>
      <c r="I91" s="36"/>
      <c r="J91" s="36"/>
      <c r="K91" s="39"/>
      <c r="L91" s="20"/>
      <c r="M91" s="20"/>
      <c r="N91" s="36"/>
      <c r="O91" s="40"/>
      <c r="P91" s="41"/>
    </row>
    <row r="92">
      <c r="A92" s="20"/>
      <c r="B92" s="20"/>
      <c r="C92" s="20"/>
      <c r="D92" s="36"/>
      <c r="E92" s="36"/>
      <c r="F92" s="37"/>
      <c r="G92" s="36"/>
      <c r="H92" s="38"/>
      <c r="I92" s="36"/>
      <c r="J92" s="36"/>
      <c r="K92" s="39"/>
      <c r="L92" s="20"/>
      <c r="M92" s="20"/>
      <c r="N92" s="36"/>
      <c r="O92" s="40"/>
      <c r="P92" s="41"/>
    </row>
    <row r="93">
      <c r="A93" s="20"/>
      <c r="B93" s="20"/>
      <c r="C93" s="20"/>
      <c r="D93" s="36"/>
      <c r="E93" s="36"/>
      <c r="F93" s="37"/>
      <c r="G93" s="36"/>
      <c r="H93" s="38"/>
      <c r="I93" s="36"/>
      <c r="J93" s="36"/>
      <c r="K93" s="39"/>
      <c r="L93" s="20"/>
      <c r="M93" s="20"/>
      <c r="N93" s="36"/>
      <c r="O93" s="40"/>
      <c r="P93" s="41"/>
    </row>
    <row r="94">
      <c r="A94" s="20"/>
      <c r="B94" s="20"/>
      <c r="C94" s="20"/>
      <c r="D94" s="36"/>
      <c r="E94" s="36"/>
      <c r="F94" s="37"/>
      <c r="G94" s="36"/>
      <c r="H94" s="38"/>
      <c r="I94" s="36"/>
      <c r="J94" s="36"/>
      <c r="K94" s="39"/>
      <c r="L94" s="20"/>
      <c r="M94" s="20"/>
      <c r="N94" s="36"/>
      <c r="O94" s="40"/>
      <c r="P94" s="41"/>
    </row>
    <row r="95">
      <c r="A95" s="20"/>
      <c r="B95" s="20"/>
      <c r="C95" s="20"/>
      <c r="D95" s="36"/>
      <c r="E95" s="36"/>
      <c r="F95" s="37"/>
      <c r="G95" s="36"/>
      <c r="H95" s="38"/>
      <c r="I95" s="36"/>
      <c r="J95" s="36"/>
      <c r="K95" s="39"/>
      <c r="L95" s="20"/>
      <c r="M95" s="20"/>
      <c r="N95" s="36"/>
      <c r="O95" s="40"/>
      <c r="P95" s="41"/>
    </row>
    <row r="96">
      <c r="A96" s="20"/>
      <c r="B96" s="20"/>
      <c r="C96" s="20"/>
      <c r="D96" s="36"/>
      <c r="E96" s="36"/>
      <c r="F96" s="37"/>
      <c r="G96" s="36"/>
      <c r="H96" s="38"/>
      <c r="I96" s="36"/>
      <c r="J96" s="36"/>
      <c r="K96" s="39"/>
      <c r="L96" s="20"/>
      <c r="M96" s="20"/>
      <c r="N96" s="36"/>
      <c r="O96" s="40"/>
      <c r="P96" s="41"/>
    </row>
    <row r="97">
      <c r="A97" s="20"/>
      <c r="B97" s="20"/>
      <c r="C97" s="20"/>
      <c r="D97" s="36"/>
      <c r="E97" s="36"/>
      <c r="F97" s="37"/>
      <c r="G97" s="36"/>
      <c r="H97" s="38"/>
      <c r="I97" s="36"/>
      <c r="J97" s="36"/>
      <c r="K97" s="39"/>
      <c r="L97" s="20"/>
      <c r="M97" s="20"/>
      <c r="N97" s="36"/>
      <c r="O97" s="40"/>
      <c r="P97" s="41"/>
    </row>
    <row r="98">
      <c r="A98" s="20"/>
      <c r="B98" s="20"/>
      <c r="C98" s="20"/>
      <c r="D98" s="36"/>
      <c r="E98" s="36"/>
      <c r="F98" s="37"/>
      <c r="G98" s="36"/>
      <c r="H98" s="38"/>
      <c r="I98" s="36"/>
      <c r="J98" s="36"/>
      <c r="K98" s="39"/>
      <c r="L98" s="20"/>
      <c r="M98" s="20"/>
      <c r="N98" s="36"/>
      <c r="O98" s="40"/>
      <c r="P98" s="41"/>
    </row>
    <row r="99">
      <c r="A99" s="20"/>
      <c r="B99" s="20"/>
      <c r="C99" s="20"/>
      <c r="D99" s="36"/>
      <c r="E99" s="36"/>
      <c r="F99" s="37"/>
      <c r="G99" s="36"/>
      <c r="H99" s="38"/>
      <c r="I99" s="36"/>
      <c r="J99" s="36"/>
      <c r="K99" s="39"/>
      <c r="L99" s="20"/>
      <c r="M99" s="20"/>
      <c r="N99" s="36"/>
      <c r="O99" s="40"/>
      <c r="P99" s="41"/>
    </row>
    <row r="100">
      <c r="A100" s="20"/>
      <c r="B100" s="20"/>
      <c r="C100" s="20"/>
      <c r="D100" s="36"/>
      <c r="E100" s="36"/>
      <c r="F100" s="37"/>
      <c r="G100" s="36"/>
      <c r="H100" s="38"/>
      <c r="I100" s="36"/>
      <c r="J100" s="36"/>
      <c r="K100" s="39"/>
      <c r="L100" s="20"/>
      <c r="M100" s="20"/>
      <c r="N100" s="36"/>
      <c r="O100" s="40"/>
      <c r="P100" s="41"/>
    </row>
    <row r="101">
      <c r="A101" s="20"/>
      <c r="B101" s="20"/>
      <c r="C101" s="20"/>
      <c r="D101" s="36"/>
      <c r="E101" s="36"/>
      <c r="F101" s="37"/>
      <c r="G101" s="36"/>
      <c r="H101" s="38"/>
      <c r="I101" s="36"/>
      <c r="J101" s="36"/>
      <c r="K101" s="39"/>
      <c r="L101" s="20"/>
      <c r="M101" s="20"/>
      <c r="N101" s="36"/>
      <c r="O101" s="40"/>
      <c r="P101" s="41"/>
    </row>
    <row r="102">
      <c r="A102" s="20"/>
      <c r="B102" s="20"/>
      <c r="C102" s="20"/>
      <c r="D102" s="36"/>
      <c r="E102" s="36"/>
      <c r="F102" s="37"/>
      <c r="G102" s="36"/>
      <c r="H102" s="38"/>
      <c r="I102" s="36"/>
      <c r="J102" s="36"/>
      <c r="K102" s="39"/>
      <c r="L102" s="20"/>
      <c r="M102" s="20"/>
      <c r="N102" s="36"/>
      <c r="O102" s="40"/>
      <c r="P102" s="41"/>
    </row>
    <row r="103">
      <c r="A103" s="20"/>
      <c r="B103" s="20"/>
      <c r="C103" s="20"/>
      <c r="D103" s="36"/>
      <c r="E103" s="36"/>
      <c r="F103" s="37"/>
      <c r="G103" s="36"/>
      <c r="H103" s="38"/>
      <c r="I103" s="36"/>
      <c r="J103" s="36"/>
      <c r="K103" s="39"/>
      <c r="L103" s="20"/>
      <c r="M103" s="20"/>
      <c r="N103" s="36"/>
      <c r="O103" s="40"/>
      <c r="P103" s="41"/>
    </row>
    <row r="104">
      <c r="A104" s="20"/>
      <c r="B104" s="20"/>
      <c r="C104" s="20"/>
      <c r="D104" s="36"/>
      <c r="E104" s="36"/>
      <c r="F104" s="37"/>
      <c r="G104" s="36"/>
      <c r="H104" s="38"/>
      <c r="I104" s="36"/>
      <c r="J104" s="36"/>
      <c r="K104" s="39"/>
      <c r="L104" s="20"/>
      <c r="M104" s="20"/>
      <c r="N104" s="36"/>
      <c r="O104" s="40"/>
      <c r="P104" s="41"/>
    </row>
    <row r="105">
      <c r="A105" s="20"/>
      <c r="B105" s="20"/>
      <c r="C105" s="20"/>
      <c r="D105" s="36"/>
      <c r="E105" s="36"/>
      <c r="F105" s="37"/>
      <c r="G105" s="36"/>
      <c r="H105" s="38"/>
      <c r="I105" s="36"/>
      <c r="J105" s="36"/>
      <c r="K105" s="39"/>
      <c r="L105" s="20"/>
      <c r="M105" s="20"/>
      <c r="N105" s="36"/>
      <c r="O105" s="40"/>
      <c r="P105" s="41"/>
    </row>
    <row r="106">
      <c r="A106" s="20"/>
      <c r="B106" s="20"/>
      <c r="C106" s="20"/>
      <c r="D106" s="36"/>
      <c r="E106" s="36"/>
      <c r="F106" s="37"/>
      <c r="G106" s="36"/>
      <c r="H106" s="38"/>
      <c r="I106" s="36"/>
      <c r="J106" s="36"/>
      <c r="K106" s="39"/>
      <c r="L106" s="20"/>
      <c r="M106" s="20"/>
      <c r="N106" s="36"/>
      <c r="O106" s="40"/>
      <c r="P106" s="41"/>
    </row>
    <row r="107">
      <c r="A107" s="20"/>
      <c r="B107" s="20"/>
      <c r="C107" s="20"/>
      <c r="D107" s="36"/>
      <c r="E107" s="36"/>
      <c r="F107" s="37"/>
      <c r="G107" s="36"/>
      <c r="H107" s="38"/>
      <c r="I107" s="36"/>
      <c r="J107" s="36"/>
      <c r="K107" s="39"/>
      <c r="L107" s="20"/>
      <c r="M107" s="20"/>
      <c r="N107" s="36"/>
      <c r="O107" s="40"/>
      <c r="P107" s="41"/>
    </row>
    <row r="108">
      <c r="A108" s="20"/>
      <c r="B108" s="20"/>
      <c r="C108" s="20"/>
      <c r="D108" s="36"/>
      <c r="E108" s="36"/>
      <c r="F108" s="37"/>
      <c r="G108" s="36"/>
      <c r="H108" s="38"/>
      <c r="I108" s="36"/>
      <c r="J108" s="36"/>
      <c r="K108" s="39"/>
      <c r="L108" s="20"/>
      <c r="M108" s="20"/>
      <c r="N108" s="36"/>
      <c r="O108" s="40"/>
      <c r="P108" s="41"/>
    </row>
    <row r="109">
      <c r="A109" s="20"/>
      <c r="B109" s="20"/>
      <c r="C109" s="20"/>
      <c r="D109" s="36"/>
      <c r="E109" s="36"/>
      <c r="F109" s="37"/>
      <c r="G109" s="36"/>
      <c r="H109" s="38"/>
      <c r="I109" s="36"/>
      <c r="J109" s="36"/>
      <c r="K109" s="39"/>
      <c r="L109" s="20"/>
      <c r="M109" s="20"/>
      <c r="N109" s="36"/>
      <c r="O109" s="40"/>
      <c r="P109" s="41"/>
    </row>
    <row r="110">
      <c r="A110" s="20"/>
      <c r="B110" s="20"/>
      <c r="C110" s="20"/>
      <c r="D110" s="36"/>
      <c r="E110" s="36"/>
      <c r="F110" s="37"/>
      <c r="G110" s="36"/>
      <c r="H110" s="38"/>
      <c r="I110" s="36"/>
      <c r="J110" s="36"/>
      <c r="K110" s="39"/>
      <c r="L110" s="20"/>
      <c r="M110" s="20"/>
      <c r="N110" s="36"/>
      <c r="O110" s="40"/>
      <c r="P110" s="41"/>
    </row>
    <row r="111">
      <c r="A111" s="20"/>
      <c r="B111" s="20"/>
      <c r="C111" s="20"/>
      <c r="D111" s="36"/>
      <c r="E111" s="36"/>
      <c r="F111" s="37"/>
      <c r="G111" s="36"/>
      <c r="H111" s="38"/>
      <c r="I111" s="36"/>
      <c r="J111" s="36"/>
      <c r="K111" s="39"/>
      <c r="L111" s="20"/>
      <c r="M111" s="20"/>
      <c r="N111" s="36"/>
      <c r="O111" s="40"/>
      <c r="P111" s="41"/>
    </row>
    <row r="112">
      <c r="A112" s="20"/>
      <c r="B112" s="20"/>
      <c r="C112" s="20"/>
      <c r="D112" s="36"/>
      <c r="E112" s="36"/>
      <c r="F112" s="37"/>
      <c r="G112" s="36"/>
      <c r="H112" s="38"/>
      <c r="I112" s="36"/>
      <c r="J112" s="36"/>
      <c r="K112" s="39"/>
      <c r="L112" s="20"/>
      <c r="M112" s="20"/>
      <c r="N112" s="36"/>
      <c r="O112" s="40"/>
      <c r="P112" s="41"/>
    </row>
    <row r="113">
      <c r="A113" s="20"/>
      <c r="B113" s="20"/>
      <c r="C113" s="20"/>
      <c r="D113" s="36"/>
      <c r="E113" s="36"/>
      <c r="F113" s="37"/>
      <c r="G113" s="36"/>
      <c r="H113" s="38"/>
      <c r="I113" s="36"/>
      <c r="J113" s="36"/>
      <c r="K113" s="39"/>
      <c r="L113" s="20"/>
      <c r="M113" s="20"/>
      <c r="N113" s="36"/>
      <c r="O113" s="40"/>
      <c r="P113" s="41"/>
    </row>
    <row r="114">
      <c r="A114" s="20"/>
      <c r="B114" s="20"/>
      <c r="C114" s="20"/>
      <c r="D114" s="36"/>
      <c r="E114" s="36"/>
      <c r="F114" s="37"/>
      <c r="G114" s="36"/>
      <c r="H114" s="38"/>
      <c r="I114" s="36"/>
      <c r="J114" s="36"/>
      <c r="K114" s="39"/>
      <c r="L114" s="20"/>
      <c r="M114" s="20"/>
      <c r="N114" s="36"/>
      <c r="O114" s="40"/>
      <c r="P114" s="41"/>
    </row>
  </sheetData>
  <autoFilter ref="$A$2:$P$68"/>
  <mergeCells count="1">
    <mergeCell ref="A1:P1"/>
  </mergeCells>
  <conditionalFormatting sqref="D3:I114 K3:K114">
    <cfRule type="expression" dxfId="0" priority="1">
      <formula>D3&gt;=MAX(D$3:D$178)</formula>
    </cfRule>
  </conditionalFormatting>
  <conditionalFormatting sqref="J3:J114">
    <cfRule type="expression" dxfId="0" priority="2">
      <formula>J3=MIN(J$3:J$178)</formula>
    </cfRule>
  </conditionalFormatting>
  <drawing r:id="rId4"/>
  <legacy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2.75"/>
  <cols>
    <col customWidth="1" min="1" max="1" width="5.75"/>
    <col customWidth="1" min="2" max="3" width="11.5"/>
    <col customWidth="1" min="4" max="5" width="5.75"/>
    <col customWidth="1" min="6" max="6" width="10.5"/>
    <col customWidth="1" min="7" max="7" width="5.75"/>
    <col customWidth="1" min="8" max="8" width="7.63"/>
    <col customWidth="1" min="9" max="9" width="6.75"/>
    <col customWidth="1" min="10" max="10" width="8.63"/>
    <col customWidth="1" min="11" max="12" width="9.38"/>
  </cols>
  <sheetData>
    <row r="1" ht="30.75" customHeight="1">
      <c r="A1" s="1" t="s">
        <v>11</v>
      </c>
    </row>
    <row r="2" ht="15.0" customHeight="1">
      <c r="A2" s="3" t="s">
        <v>3</v>
      </c>
      <c r="B2" s="3" t="s">
        <v>4</v>
      </c>
      <c r="C2" s="3" t="s">
        <v>5</v>
      </c>
      <c r="D2" s="3" t="s">
        <v>27</v>
      </c>
      <c r="E2" s="3" t="s">
        <v>9</v>
      </c>
      <c r="F2" s="7" t="s">
        <v>10</v>
      </c>
      <c r="G2" s="3" t="s">
        <v>28</v>
      </c>
      <c r="H2" s="3" t="s">
        <v>16</v>
      </c>
      <c r="I2" s="3" t="s">
        <v>17</v>
      </c>
      <c r="J2" s="3" t="s">
        <v>18</v>
      </c>
      <c r="K2" s="11" t="s">
        <v>19</v>
      </c>
      <c r="L2" s="12" t="s">
        <v>20</v>
      </c>
    </row>
    <row r="3" ht="15.0" customHeight="1">
      <c r="A3" s="13" t="s">
        <v>31</v>
      </c>
      <c r="B3" s="13" t="s">
        <v>32</v>
      </c>
      <c r="C3" s="13" t="s">
        <v>33</v>
      </c>
      <c r="D3" s="13">
        <v>45.0</v>
      </c>
      <c r="E3" s="13">
        <v>1665.0</v>
      </c>
      <c r="F3" s="16">
        <f>1665/45</f>
        <v>37</v>
      </c>
      <c r="G3" s="13">
        <v>26.0</v>
      </c>
      <c r="H3" s="13" t="s">
        <v>29</v>
      </c>
      <c r="I3" s="13" t="s">
        <v>30</v>
      </c>
      <c r="J3" s="13">
        <v>1.0</v>
      </c>
      <c r="K3" s="20">
        <f>vlookup(J3,Superbowls!$A$2:$B$115,2,FALSE)</f>
        <v>2009</v>
      </c>
      <c r="L3" s="20" t="s">
        <v>36</v>
      </c>
    </row>
    <row r="4" ht="15.0" customHeight="1">
      <c r="A4" s="13" t="s">
        <v>22</v>
      </c>
      <c r="B4" s="13" t="s">
        <v>50</v>
      </c>
      <c r="C4" s="13" t="s">
        <v>51</v>
      </c>
      <c r="D4" s="13">
        <v>41.0</v>
      </c>
      <c r="E4" s="13">
        <v>709.0</v>
      </c>
      <c r="F4" s="16">
        <f>709/41</f>
        <v>17.29268293</v>
      </c>
      <c r="G4" s="13">
        <v>12.0</v>
      </c>
      <c r="H4" s="13" t="s">
        <v>29</v>
      </c>
      <c r="I4" s="13" t="s">
        <v>30</v>
      </c>
      <c r="J4" s="13">
        <v>1.0</v>
      </c>
      <c r="K4" s="20">
        <f>vlookup(J4,Superbowls!$A$2:$B$115,2,FALSE)</f>
        <v>2009</v>
      </c>
      <c r="L4" s="20" t="s">
        <v>36</v>
      </c>
    </row>
    <row r="5" ht="15.0" customHeight="1">
      <c r="A5" s="13" t="s">
        <v>65</v>
      </c>
      <c r="B5" s="13" t="s">
        <v>66</v>
      </c>
      <c r="C5" s="13" t="s">
        <v>67</v>
      </c>
      <c r="D5" s="13">
        <v>40.0</v>
      </c>
      <c r="E5" s="13">
        <v>878.0</v>
      </c>
      <c r="F5" s="16">
        <f>878/40</f>
        <v>21.95</v>
      </c>
      <c r="G5" s="13">
        <v>10.0</v>
      </c>
      <c r="H5" s="13" t="s">
        <v>29</v>
      </c>
      <c r="I5" s="13" t="s">
        <v>30</v>
      </c>
      <c r="J5" s="13">
        <v>1.0</v>
      </c>
      <c r="K5" s="20">
        <f>vlookup(J5,Superbowls!$A$2:$B$115,2,FALSE)</f>
        <v>2009</v>
      </c>
      <c r="L5" s="20" t="s">
        <v>36</v>
      </c>
    </row>
    <row r="6" ht="15.0" customHeight="1">
      <c r="A6" s="13" t="s">
        <v>31</v>
      </c>
      <c r="B6" s="13" t="s">
        <v>72</v>
      </c>
      <c r="C6" s="13" t="s">
        <v>73</v>
      </c>
      <c r="D6" s="13">
        <v>38.0</v>
      </c>
      <c r="E6" s="13">
        <v>941.0</v>
      </c>
      <c r="F6" s="16">
        <f>941/38</f>
        <v>24.76315789</v>
      </c>
      <c r="G6" s="13">
        <v>10.0</v>
      </c>
      <c r="H6" s="13" t="s">
        <v>54</v>
      </c>
      <c r="I6" s="13" t="s">
        <v>42</v>
      </c>
      <c r="J6" s="13">
        <v>2.0</v>
      </c>
      <c r="K6" s="20">
        <f>vlookup(J6,Superbowls!$A$2:$B$115,2,FALSE)</f>
        <v>2009</v>
      </c>
      <c r="L6" s="20" t="s">
        <v>36</v>
      </c>
    </row>
    <row r="7" ht="15.0" customHeight="1">
      <c r="A7" s="13" t="s">
        <v>31</v>
      </c>
      <c r="B7" s="13" t="s">
        <v>83</v>
      </c>
      <c r="C7" s="13" t="s">
        <v>84</v>
      </c>
      <c r="D7" s="13">
        <v>37.0</v>
      </c>
      <c r="E7" s="13">
        <v>1186.0</v>
      </c>
      <c r="F7" s="16">
        <f>1186/37</f>
        <v>32.05405405</v>
      </c>
      <c r="G7" s="13">
        <v>19.0</v>
      </c>
      <c r="H7" s="13" t="s">
        <v>54</v>
      </c>
      <c r="I7" s="13" t="s">
        <v>42</v>
      </c>
      <c r="J7" s="13">
        <v>2.0</v>
      </c>
      <c r="K7" s="20">
        <f>vlookup(J7,Superbowls!$A$2:$B$115,2,FALSE)</f>
        <v>2009</v>
      </c>
      <c r="L7" s="20" t="s">
        <v>36</v>
      </c>
    </row>
    <row r="8" ht="15.0" customHeight="1">
      <c r="A8" s="13" t="s">
        <v>65</v>
      </c>
      <c r="B8" s="13" t="s">
        <v>94</v>
      </c>
      <c r="C8" s="13" t="s">
        <v>95</v>
      </c>
      <c r="D8" s="13">
        <v>57.0</v>
      </c>
      <c r="E8" s="13">
        <v>738.0</v>
      </c>
      <c r="F8" s="16">
        <f>738/57</f>
        <v>12.94736842</v>
      </c>
      <c r="G8" s="13">
        <v>11.0</v>
      </c>
      <c r="H8" s="13" t="s">
        <v>60</v>
      </c>
      <c r="I8" s="13" t="s">
        <v>30</v>
      </c>
      <c r="J8" s="13">
        <v>3.0</v>
      </c>
      <c r="K8" s="20">
        <f>vlookup(J8,Superbowls!$A$2:$B$115,2,FALSE)</f>
        <v>2009</v>
      </c>
      <c r="L8" s="20" t="s">
        <v>36</v>
      </c>
    </row>
    <row r="9" ht="15.0" customHeight="1">
      <c r="A9" s="13" t="s">
        <v>31</v>
      </c>
      <c r="B9" s="13" t="s">
        <v>103</v>
      </c>
      <c r="C9" s="13" t="s">
        <v>104</v>
      </c>
      <c r="D9" s="13">
        <v>43.0</v>
      </c>
      <c r="E9" s="13">
        <v>1643.0</v>
      </c>
      <c r="F9" s="16">
        <f>1643/43</f>
        <v>38.20930233</v>
      </c>
      <c r="G9" s="13">
        <v>30.0</v>
      </c>
      <c r="H9" s="13" t="s">
        <v>60</v>
      </c>
      <c r="I9" s="13" t="s">
        <v>30</v>
      </c>
      <c r="J9" s="13">
        <v>3.0</v>
      </c>
      <c r="K9" s="20">
        <f>vlookup(J9,Superbowls!$A$2:$B$115,2,FALSE)</f>
        <v>2009</v>
      </c>
      <c r="L9" s="20" t="s">
        <v>36</v>
      </c>
    </row>
    <row r="10" ht="15.0" customHeight="1">
      <c r="A10" s="13" t="s">
        <v>65</v>
      </c>
      <c r="B10" s="13" t="s">
        <v>24</v>
      </c>
      <c r="C10" s="13" t="s">
        <v>110</v>
      </c>
      <c r="D10" s="13">
        <v>68.0</v>
      </c>
      <c r="E10" s="13">
        <v>1150.0</v>
      </c>
      <c r="F10" s="25">
        <v>16.9</v>
      </c>
      <c r="G10" s="13">
        <v>13.0</v>
      </c>
      <c r="H10" s="13" t="s">
        <v>62</v>
      </c>
      <c r="I10" s="13" t="s">
        <v>63</v>
      </c>
      <c r="J10" s="13">
        <v>4.0</v>
      </c>
      <c r="K10" s="20">
        <f>vlookup(J10,Superbowls!$A$2:$B$115,2,FALSE)</f>
        <v>2009</v>
      </c>
      <c r="L10" s="20" t="s">
        <v>36</v>
      </c>
    </row>
    <row r="11" ht="15.0" customHeight="1">
      <c r="A11" s="13" t="s">
        <v>31</v>
      </c>
      <c r="B11" s="13" t="s">
        <v>115</v>
      </c>
      <c r="C11" s="13" t="s">
        <v>33</v>
      </c>
      <c r="D11" s="13">
        <v>60.0</v>
      </c>
      <c r="E11" s="13">
        <v>1412.0</v>
      </c>
      <c r="F11" s="25">
        <v>23.5</v>
      </c>
      <c r="G11" s="13">
        <v>17.0</v>
      </c>
      <c r="H11" s="13" t="s">
        <v>79</v>
      </c>
      <c r="I11" s="13" t="s">
        <v>30</v>
      </c>
      <c r="J11" s="13">
        <v>4.0</v>
      </c>
      <c r="K11" s="20">
        <f>vlookup(J11,Superbowls!$A$2:$B$115,2,FALSE)</f>
        <v>2009</v>
      </c>
      <c r="L11" s="20" t="s">
        <v>36</v>
      </c>
    </row>
    <row r="12" ht="15.0" customHeight="1">
      <c r="A12" s="13" t="s">
        <v>31</v>
      </c>
      <c r="B12" s="13" t="s">
        <v>72</v>
      </c>
      <c r="C12" s="13" t="s">
        <v>73</v>
      </c>
      <c r="D12" s="13">
        <v>50.0</v>
      </c>
      <c r="E12" s="13">
        <v>2355.0</v>
      </c>
      <c r="F12" s="25">
        <v>47.0</v>
      </c>
      <c r="G12" s="13">
        <v>37.0</v>
      </c>
      <c r="H12" s="13" t="s">
        <v>54</v>
      </c>
      <c r="I12" s="13" t="s">
        <v>42</v>
      </c>
      <c r="J12" s="13">
        <v>4.0</v>
      </c>
      <c r="K12" s="20">
        <f>vlookup(J12,Superbowls!$A$2:$B$115,2,FALSE)</f>
        <v>2009</v>
      </c>
      <c r="L12" s="20" t="s">
        <v>36</v>
      </c>
    </row>
    <row r="13" ht="15.0" customHeight="1">
      <c r="A13" s="13" t="s">
        <v>31</v>
      </c>
      <c r="B13" s="13" t="s">
        <v>83</v>
      </c>
      <c r="C13" s="13" t="s">
        <v>84</v>
      </c>
      <c r="D13" s="13">
        <v>47.0</v>
      </c>
      <c r="E13" s="13">
        <v>1131.0</v>
      </c>
      <c r="F13" s="25">
        <v>24.9</v>
      </c>
      <c r="G13" s="13">
        <v>11.0</v>
      </c>
      <c r="H13" s="13" t="s">
        <v>54</v>
      </c>
      <c r="I13" s="13" t="s">
        <v>42</v>
      </c>
      <c r="J13" s="13">
        <v>4.0</v>
      </c>
      <c r="K13" s="20">
        <f>vlookup(J13,Superbowls!$A$2:$B$115,2,FALSE)</f>
        <v>2009</v>
      </c>
      <c r="L13" s="20" t="s">
        <v>36</v>
      </c>
    </row>
    <row r="14" ht="15.0" customHeight="1">
      <c r="A14" s="13" t="s">
        <v>22</v>
      </c>
      <c r="B14" s="13" t="s">
        <v>127</v>
      </c>
      <c r="C14" s="13" t="s">
        <v>128</v>
      </c>
      <c r="D14" s="13">
        <v>43.0</v>
      </c>
      <c r="E14" s="13">
        <v>1560.0</v>
      </c>
      <c r="F14" s="25">
        <v>36.2</v>
      </c>
      <c r="G14" s="13">
        <v>18.0</v>
      </c>
      <c r="H14" s="13" t="s">
        <v>79</v>
      </c>
      <c r="I14" s="13" t="s">
        <v>30</v>
      </c>
      <c r="J14" s="13">
        <v>4.0</v>
      </c>
      <c r="K14" s="20">
        <f>vlookup(J14,Superbowls!$A$2:$B$115,2,FALSE)</f>
        <v>2009</v>
      </c>
      <c r="L14" s="20" t="s">
        <v>36</v>
      </c>
    </row>
    <row r="15" ht="15.0" customHeight="1">
      <c r="A15" s="13" t="s">
        <v>65</v>
      </c>
      <c r="B15" s="13" t="s">
        <v>134</v>
      </c>
      <c r="C15" s="13" t="s">
        <v>135</v>
      </c>
      <c r="D15" s="13">
        <v>26.0</v>
      </c>
      <c r="E15" s="13">
        <v>712.0</v>
      </c>
      <c r="F15" s="25">
        <v>19.7</v>
      </c>
      <c r="G15" s="13">
        <v>9.0</v>
      </c>
      <c r="H15" s="13" t="s">
        <v>79</v>
      </c>
      <c r="I15" s="13" t="s">
        <v>30</v>
      </c>
      <c r="J15" s="13">
        <v>4.0</v>
      </c>
      <c r="K15" s="20">
        <f>vlookup(J15,Superbowls!$A$2:$B$115,2,FALSE)</f>
        <v>2009</v>
      </c>
      <c r="L15" s="20" t="s">
        <v>36</v>
      </c>
    </row>
    <row r="16" ht="15.0" customHeight="1">
      <c r="A16" s="13" t="s">
        <v>31</v>
      </c>
      <c r="B16" s="13" t="s">
        <v>141</v>
      </c>
      <c r="C16" s="13" t="s">
        <v>142</v>
      </c>
      <c r="D16" s="13">
        <v>62.0</v>
      </c>
      <c r="E16" s="13">
        <v>3257.0</v>
      </c>
      <c r="F16" s="25">
        <v>52.5</v>
      </c>
      <c r="G16" s="13">
        <v>41.0</v>
      </c>
      <c r="H16" s="13" t="s">
        <v>81</v>
      </c>
      <c r="I16" s="13" t="s">
        <v>63</v>
      </c>
      <c r="J16" s="13">
        <v>5.0</v>
      </c>
      <c r="K16" s="20">
        <f>vlookup(J16,Superbowls!$A$2:$B$115,2,FALSE)</f>
        <v>2010</v>
      </c>
      <c r="L16" s="20" t="s">
        <v>36</v>
      </c>
    </row>
    <row r="17" ht="15.0" customHeight="1">
      <c r="A17" s="13" t="s">
        <v>31</v>
      </c>
      <c r="B17" s="13" t="s">
        <v>148</v>
      </c>
      <c r="C17" s="13" t="s">
        <v>33</v>
      </c>
      <c r="D17" s="13">
        <v>38.0</v>
      </c>
      <c r="E17" s="13">
        <v>938.0</v>
      </c>
      <c r="F17" s="25">
        <v>24.6</v>
      </c>
      <c r="G17" s="13">
        <v>17.0</v>
      </c>
      <c r="H17" s="13" t="s">
        <v>89</v>
      </c>
      <c r="I17" s="13" t="s">
        <v>30</v>
      </c>
      <c r="J17" s="13">
        <v>5.0</v>
      </c>
      <c r="K17" s="20">
        <f>vlookup(J17,Superbowls!$A$2:$B$115,2,FALSE)</f>
        <v>2010</v>
      </c>
      <c r="L17" s="20" t="s">
        <v>36</v>
      </c>
    </row>
    <row r="18" ht="15.0" customHeight="1">
      <c r="A18" s="13" t="s">
        <v>31</v>
      </c>
      <c r="B18" s="13" t="s">
        <v>149</v>
      </c>
      <c r="C18" s="13" t="s">
        <v>150</v>
      </c>
      <c r="D18" s="13">
        <v>35.0</v>
      </c>
      <c r="E18" s="13">
        <v>1668.0</v>
      </c>
      <c r="F18" s="25">
        <v>47.6</v>
      </c>
      <c r="G18" s="13">
        <v>25.0</v>
      </c>
      <c r="H18" s="13" t="s">
        <v>89</v>
      </c>
      <c r="I18" s="13" t="s">
        <v>30</v>
      </c>
      <c r="J18" s="13">
        <v>5.0</v>
      </c>
      <c r="K18" s="20">
        <f>vlookup(J18,Superbowls!$A$2:$B$115,2,FALSE)</f>
        <v>2010</v>
      </c>
      <c r="L18" s="20" t="s">
        <v>36</v>
      </c>
    </row>
    <row r="19" ht="15.0" customHeight="1">
      <c r="A19" s="13" t="s">
        <v>22</v>
      </c>
      <c r="B19" s="13" t="s">
        <v>153</v>
      </c>
      <c r="C19" s="13" t="s">
        <v>113</v>
      </c>
      <c r="D19" s="13">
        <v>34.0</v>
      </c>
      <c r="E19" s="13">
        <v>1463.0</v>
      </c>
      <c r="F19" s="25">
        <v>43.0</v>
      </c>
      <c r="G19" s="13">
        <v>19.0</v>
      </c>
      <c r="H19" s="13" t="s">
        <v>89</v>
      </c>
      <c r="I19" s="13" t="s">
        <v>30</v>
      </c>
      <c r="J19" s="13">
        <v>5.0</v>
      </c>
      <c r="K19" s="20">
        <f>vlookup(J19,Superbowls!$A$2:$B$115,2,FALSE)</f>
        <v>2010</v>
      </c>
      <c r="L19" s="28" t="s">
        <v>36</v>
      </c>
    </row>
    <row r="20" ht="15.0" customHeight="1">
      <c r="A20" s="13" t="s">
        <v>31</v>
      </c>
      <c r="B20" s="13" t="s">
        <v>159</v>
      </c>
      <c r="C20" s="13" t="s">
        <v>160</v>
      </c>
      <c r="D20" s="13">
        <v>86.0</v>
      </c>
      <c r="E20" s="13">
        <v>3881.0</v>
      </c>
      <c r="F20" s="25">
        <v>45.1</v>
      </c>
      <c r="G20" s="13">
        <v>56.0</v>
      </c>
      <c r="H20" s="13" t="s">
        <v>54</v>
      </c>
      <c r="I20" s="13" t="s">
        <v>42</v>
      </c>
      <c r="J20" s="20">
        <v>6.0</v>
      </c>
      <c r="K20" s="20">
        <f>vlookup(J20,Superbowls!$A$2:$B$115,2,FALSE)</f>
        <v>2011</v>
      </c>
      <c r="L20" s="28" t="s">
        <v>36</v>
      </c>
    </row>
    <row r="21" ht="15.0" customHeight="1">
      <c r="A21" s="13" t="s">
        <v>65</v>
      </c>
      <c r="B21" s="13" t="s">
        <v>163</v>
      </c>
      <c r="C21" s="13" t="s">
        <v>164</v>
      </c>
      <c r="D21" s="13">
        <v>49.0</v>
      </c>
      <c r="E21" s="13">
        <v>902.0</v>
      </c>
      <c r="F21" s="25">
        <v>18.4</v>
      </c>
      <c r="G21" s="13">
        <v>7.0</v>
      </c>
      <c r="H21" s="13" t="s">
        <v>102</v>
      </c>
      <c r="I21" s="13" t="s">
        <v>30</v>
      </c>
      <c r="J21" s="20">
        <v>6.0</v>
      </c>
      <c r="K21" s="20">
        <f>vlookup(J21,Superbowls!$A$2:$B$115,2,FALSE)</f>
        <v>2011</v>
      </c>
      <c r="L21" s="28" t="s">
        <v>36</v>
      </c>
    </row>
    <row r="22" ht="15.0" customHeight="1">
      <c r="A22" s="13" t="s">
        <v>31</v>
      </c>
      <c r="B22" s="13" t="s">
        <v>171</v>
      </c>
      <c r="C22" s="13" t="s">
        <v>173</v>
      </c>
      <c r="D22" s="13">
        <v>49.0</v>
      </c>
      <c r="E22" s="13">
        <v>973.0</v>
      </c>
      <c r="F22" s="25">
        <v>19.8</v>
      </c>
      <c r="G22" s="13">
        <v>11.0</v>
      </c>
      <c r="H22" s="13" t="s">
        <v>102</v>
      </c>
      <c r="I22" s="13" t="s">
        <v>30</v>
      </c>
      <c r="J22" s="20">
        <v>6.0</v>
      </c>
      <c r="K22" s="20">
        <f>vlookup(J22,Superbowls!$A$2:$B$115,2,FALSE)</f>
        <v>2011</v>
      </c>
      <c r="L22" s="28" t="s">
        <v>36</v>
      </c>
    </row>
    <row r="23">
      <c r="A23" s="20" t="s">
        <v>31</v>
      </c>
      <c r="B23" s="20" t="s">
        <v>182</v>
      </c>
      <c r="C23" s="20" t="s">
        <v>183</v>
      </c>
      <c r="D23" s="20">
        <v>75.0</v>
      </c>
      <c r="E23" s="20">
        <v>1734.0</v>
      </c>
      <c r="F23" s="25">
        <v>23.1</v>
      </c>
      <c r="G23" s="20">
        <v>21.0</v>
      </c>
      <c r="H23" s="20" t="s">
        <v>114</v>
      </c>
      <c r="I23" s="20" t="s">
        <v>42</v>
      </c>
      <c r="J23" s="20">
        <v>7.0</v>
      </c>
      <c r="K23" s="20">
        <f>vlookup(J23,Superbowls!$A$2:$B$115,2,FALSE)</f>
        <v>2017</v>
      </c>
      <c r="L23" s="28" t="s">
        <v>36</v>
      </c>
    </row>
    <row r="24">
      <c r="A24" s="20" t="s">
        <v>188</v>
      </c>
      <c r="B24" s="20" t="s">
        <v>189</v>
      </c>
      <c r="C24" s="20" t="s">
        <v>190</v>
      </c>
      <c r="D24" s="20">
        <v>57.0</v>
      </c>
      <c r="E24" s="20">
        <v>1938.0</v>
      </c>
      <c r="F24" s="25">
        <v>34.0</v>
      </c>
      <c r="G24" s="20">
        <v>15.0</v>
      </c>
      <c r="H24" s="20" t="s">
        <v>114</v>
      </c>
      <c r="I24" s="20" t="s">
        <v>42</v>
      </c>
      <c r="J24" s="20">
        <v>7.0</v>
      </c>
      <c r="K24" s="20">
        <f>vlookup(J24,Superbowls!$A$2:$B$115,2,FALSE)</f>
        <v>2017</v>
      </c>
      <c r="L24" s="28" t="s">
        <v>36</v>
      </c>
    </row>
    <row r="25">
      <c r="A25" s="20" t="s">
        <v>31</v>
      </c>
      <c r="B25" s="20" t="s">
        <v>32</v>
      </c>
      <c r="C25" s="20" t="s">
        <v>33</v>
      </c>
      <c r="D25" s="20">
        <v>45.0</v>
      </c>
      <c r="E25" s="20">
        <v>1877.0</v>
      </c>
      <c r="F25" s="25">
        <v>43.6</v>
      </c>
      <c r="G25" s="20">
        <v>25.0</v>
      </c>
      <c r="H25" s="20" t="s">
        <v>29</v>
      </c>
      <c r="I25" s="20" t="s">
        <v>35</v>
      </c>
      <c r="J25" s="20">
        <v>7.0</v>
      </c>
      <c r="K25" s="20">
        <f>vlookup(J25,Superbowls!$A$2:$B$115,2,FALSE)</f>
        <v>2017</v>
      </c>
      <c r="L25" s="28" t="s">
        <v>36</v>
      </c>
    </row>
    <row r="26">
      <c r="A26" s="20" t="s">
        <v>31</v>
      </c>
      <c r="B26" s="20" t="s">
        <v>199</v>
      </c>
      <c r="C26" s="20" t="s">
        <v>142</v>
      </c>
      <c r="D26" s="20">
        <v>50.0</v>
      </c>
      <c r="E26" s="20">
        <v>1840.0</v>
      </c>
      <c r="F26" s="25">
        <v>36.8</v>
      </c>
      <c r="G26" s="20">
        <v>35.0</v>
      </c>
      <c r="H26" s="20" t="s">
        <v>131</v>
      </c>
      <c r="I26" s="20" t="s">
        <v>30</v>
      </c>
      <c r="J26" s="20">
        <v>8.0</v>
      </c>
      <c r="K26" s="20">
        <f>vlookup(J26,Superbowls!$A$2:$B$115,2,FALSE)</f>
        <v>2017</v>
      </c>
      <c r="L26" s="28" t="s">
        <v>36</v>
      </c>
    </row>
    <row r="27">
      <c r="A27" s="20" t="s">
        <v>31</v>
      </c>
      <c r="B27" s="20" t="s">
        <v>203</v>
      </c>
      <c r="C27" s="20" t="s">
        <v>204</v>
      </c>
      <c r="D27" s="20">
        <v>48.0</v>
      </c>
      <c r="E27" s="20">
        <v>814.0</v>
      </c>
      <c r="F27" s="25">
        <v>16.9</v>
      </c>
      <c r="G27" s="20">
        <v>5.0</v>
      </c>
      <c r="H27" s="20" t="s">
        <v>124</v>
      </c>
      <c r="I27" s="20" t="s">
        <v>35</v>
      </c>
      <c r="J27" s="20">
        <v>8.0</v>
      </c>
      <c r="K27" s="20">
        <f>vlookup(J27,Superbowls!$A$2:$B$115,2,FALSE)</f>
        <v>2017</v>
      </c>
      <c r="L27" s="28" t="s">
        <v>36</v>
      </c>
    </row>
    <row r="28">
      <c r="A28" s="20" t="s">
        <v>31</v>
      </c>
      <c r="B28" s="20" t="s">
        <v>207</v>
      </c>
      <c r="C28" s="20" t="s">
        <v>208</v>
      </c>
      <c r="D28" s="20">
        <v>48.0</v>
      </c>
      <c r="E28" s="20">
        <v>1296.0</v>
      </c>
      <c r="F28" s="25">
        <v>27.0</v>
      </c>
      <c r="G28" s="20">
        <v>14.0</v>
      </c>
      <c r="H28" s="20" t="s">
        <v>124</v>
      </c>
      <c r="I28" s="20" t="s">
        <v>35</v>
      </c>
      <c r="J28" s="20">
        <v>8.0</v>
      </c>
      <c r="K28" s="20">
        <f>vlookup(J28,Superbowls!$A$2:$B$115,2,FALSE)</f>
        <v>2017</v>
      </c>
      <c r="L28" s="28" t="s">
        <v>36</v>
      </c>
    </row>
    <row r="29">
      <c r="A29" s="20" t="s">
        <v>31</v>
      </c>
      <c r="B29" s="20" t="s">
        <v>115</v>
      </c>
      <c r="C29" s="20" t="s">
        <v>33</v>
      </c>
      <c r="D29" s="20">
        <v>45.0</v>
      </c>
      <c r="E29" s="20">
        <v>2124.0</v>
      </c>
      <c r="F29" s="25">
        <v>47.2</v>
      </c>
      <c r="G29" s="20">
        <v>29.0</v>
      </c>
      <c r="H29" s="20" t="s">
        <v>79</v>
      </c>
      <c r="I29" s="20" t="s">
        <v>71</v>
      </c>
      <c r="J29" s="20">
        <v>8.0</v>
      </c>
      <c r="K29" s="20">
        <f>vlookup(J29,Superbowls!$A$2:$B$115,2,FALSE)</f>
        <v>2017</v>
      </c>
      <c r="L29" s="28" t="s">
        <v>36</v>
      </c>
    </row>
    <row r="30">
      <c r="A30" s="20" t="s">
        <v>31</v>
      </c>
      <c r="B30" s="20" t="s">
        <v>48</v>
      </c>
      <c r="C30" s="20" t="s">
        <v>215</v>
      </c>
      <c r="D30" s="20">
        <v>44.0</v>
      </c>
      <c r="E30" s="20">
        <v>2096.0</v>
      </c>
      <c r="F30" s="25">
        <v>47.6</v>
      </c>
      <c r="G30" s="20">
        <v>30.0</v>
      </c>
      <c r="H30" s="20" t="s">
        <v>78</v>
      </c>
      <c r="I30" s="20" t="s">
        <v>42</v>
      </c>
      <c r="J30" s="20">
        <v>8.0</v>
      </c>
      <c r="K30" s="20">
        <f>vlookup(J30,Superbowls!$A$2:$B$115,2,FALSE)</f>
        <v>2017</v>
      </c>
      <c r="L30" s="28" t="s">
        <v>36</v>
      </c>
    </row>
    <row r="31">
      <c r="A31" s="20" t="s">
        <v>31</v>
      </c>
      <c r="B31" s="20" t="s">
        <v>216</v>
      </c>
      <c r="C31" s="20" t="s">
        <v>217</v>
      </c>
      <c r="D31" s="20">
        <v>43.0</v>
      </c>
      <c r="E31" s="20">
        <v>1566.0</v>
      </c>
      <c r="F31" s="25">
        <v>36.4</v>
      </c>
      <c r="G31" s="20">
        <v>15.0</v>
      </c>
      <c r="H31" s="20" t="s">
        <v>107</v>
      </c>
      <c r="I31" s="20" t="s">
        <v>63</v>
      </c>
      <c r="J31" s="20">
        <v>8.0</v>
      </c>
      <c r="K31" s="20">
        <f>vlookup(J31,Superbowls!$A$2:$B$115,2,FALSE)</f>
        <v>2017</v>
      </c>
      <c r="L31" s="28" t="s">
        <v>36</v>
      </c>
    </row>
    <row r="32">
      <c r="A32" s="20" t="s">
        <v>31</v>
      </c>
      <c r="B32" s="20" t="s">
        <v>219</v>
      </c>
      <c r="C32" s="20" t="s">
        <v>220</v>
      </c>
      <c r="D32" s="20">
        <v>43.0</v>
      </c>
      <c r="E32" s="20">
        <v>861.0</v>
      </c>
      <c r="F32" s="25">
        <v>20.0</v>
      </c>
      <c r="G32" s="20">
        <v>6.0</v>
      </c>
      <c r="H32" s="20" t="s">
        <v>78</v>
      </c>
      <c r="I32" s="20" t="s">
        <v>42</v>
      </c>
      <c r="J32" s="20">
        <v>8.0</v>
      </c>
      <c r="K32" s="20">
        <f>vlookup(J32,Superbowls!$A$2:$B$115,2,FALSE)</f>
        <v>2017</v>
      </c>
      <c r="L32" s="28" t="s">
        <v>36</v>
      </c>
    </row>
    <row r="33">
      <c r="A33" s="20" t="s">
        <v>22</v>
      </c>
      <c r="B33" s="20" t="s">
        <v>223</v>
      </c>
      <c r="C33" s="20" t="s">
        <v>225</v>
      </c>
      <c r="D33" s="20">
        <v>34.0</v>
      </c>
      <c r="E33" s="20">
        <v>309.0</v>
      </c>
      <c r="F33" s="25">
        <v>9.0</v>
      </c>
      <c r="G33" s="20">
        <v>4.0</v>
      </c>
      <c r="H33" s="20" t="s">
        <v>124</v>
      </c>
      <c r="I33" s="20" t="s">
        <v>35</v>
      </c>
      <c r="J33" s="20">
        <v>8.0</v>
      </c>
      <c r="K33" s="20">
        <f>vlookup(J33,Superbowls!$A$2:$B$115,2,FALSE)</f>
        <v>2017</v>
      </c>
      <c r="L33" s="28" t="s">
        <v>36</v>
      </c>
    </row>
    <row r="34">
      <c r="A34" s="20" t="s">
        <v>22</v>
      </c>
      <c r="B34" s="20" t="s">
        <v>127</v>
      </c>
      <c r="C34" s="20" t="s">
        <v>227</v>
      </c>
      <c r="D34" s="20">
        <v>33.0</v>
      </c>
      <c r="E34" s="20">
        <v>605.0</v>
      </c>
      <c r="F34" s="25">
        <v>18.3</v>
      </c>
      <c r="G34" s="20">
        <v>2.0</v>
      </c>
      <c r="H34" s="20" t="s">
        <v>79</v>
      </c>
      <c r="I34" s="20" t="s">
        <v>71</v>
      </c>
      <c r="J34" s="20">
        <v>8.0</v>
      </c>
      <c r="K34" s="20">
        <f>vlookup(J34,Superbowls!$A$2:$B$115,2,FALSE)</f>
        <v>2017</v>
      </c>
      <c r="L34" s="28" t="s">
        <v>36</v>
      </c>
    </row>
    <row r="35">
      <c r="A35" s="20" t="s">
        <v>31</v>
      </c>
      <c r="B35" s="20" t="s">
        <v>228</v>
      </c>
      <c r="C35" s="20" t="s">
        <v>217</v>
      </c>
      <c r="D35" s="20">
        <v>61.0</v>
      </c>
      <c r="E35" s="20">
        <v>1329.0</v>
      </c>
      <c r="F35" s="25">
        <v>21.7</v>
      </c>
      <c r="G35" s="20">
        <v>4.0</v>
      </c>
      <c r="H35" s="20" t="s">
        <v>145</v>
      </c>
      <c r="I35" s="20" t="s">
        <v>63</v>
      </c>
      <c r="J35" s="27">
        <v>9.0</v>
      </c>
      <c r="K35" s="20">
        <f>vlookup(J35,Superbowls!$A$2:$B$115,2,FALSE)</f>
        <v>2017</v>
      </c>
      <c r="L35" s="28" t="s">
        <v>36</v>
      </c>
    </row>
    <row r="36">
      <c r="A36" s="20" t="s">
        <v>31</v>
      </c>
      <c r="B36" s="20" t="s">
        <v>229</v>
      </c>
      <c r="C36" s="20" t="s">
        <v>230</v>
      </c>
      <c r="D36" s="20">
        <v>41.0</v>
      </c>
      <c r="E36" s="20">
        <v>1105.0</v>
      </c>
      <c r="F36" s="25">
        <v>26.9</v>
      </c>
      <c r="G36" s="20">
        <v>7.0</v>
      </c>
      <c r="H36" s="20" t="s">
        <v>101</v>
      </c>
      <c r="I36" s="20" t="s">
        <v>71</v>
      </c>
      <c r="J36" s="27">
        <v>9.0</v>
      </c>
      <c r="K36" s="20">
        <f>vlookup(J36,Superbowls!$A$2:$B$115,2,FALSE)</f>
        <v>2017</v>
      </c>
      <c r="L36" s="28" t="s">
        <v>36</v>
      </c>
    </row>
    <row r="37">
      <c r="A37" s="20" t="s">
        <v>31</v>
      </c>
      <c r="B37" s="20" t="s">
        <v>231</v>
      </c>
      <c r="C37" s="20" t="s">
        <v>232</v>
      </c>
      <c r="D37" s="20">
        <v>38.0</v>
      </c>
      <c r="E37" s="20">
        <v>1237.0</v>
      </c>
      <c r="F37" s="25">
        <v>32.5</v>
      </c>
      <c r="G37" s="20">
        <v>11.0</v>
      </c>
      <c r="H37" s="20" t="s">
        <v>145</v>
      </c>
      <c r="I37" s="20" t="s">
        <v>63</v>
      </c>
      <c r="J37" s="27">
        <v>9.0</v>
      </c>
      <c r="K37" s="20">
        <f>vlookup(J37,Superbowls!$A$2:$B$115,2,FALSE)</f>
        <v>2017</v>
      </c>
      <c r="L37" s="28" t="s">
        <v>36</v>
      </c>
    </row>
    <row r="38">
      <c r="A38" s="20" t="s">
        <v>22</v>
      </c>
      <c r="B38" s="20" t="s">
        <v>91</v>
      </c>
      <c r="C38" s="20" t="s">
        <v>92</v>
      </c>
      <c r="D38" s="20">
        <v>38.0</v>
      </c>
      <c r="E38" s="20">
        <v>1574.0</v>
      </c>
      <c r="F38" s="25">
        <v>41.4</v>
      </c>
      <c r="G38" s="20">
        <v>23.0</v>
      </c>
      <c r="H38" s="20" t="s">
        <v>93</v>
      </c>
      <c r="I38" s="20" t="s">
        <v>42</v>
      </c>
      <c r="J38" s="27">
        <v>9.0</v>
      </c>
      <c r="K38" s="20">
        <f>vlookup(J38,Superbowls!$A$2:$B$115,2,FALSE)</f>
        <v>2017</v>
      </c>
      <c r="L38" s="28" t="s">
        <v>36</v>
      </c>
    </row>
    <row r="39">
      <c r="A39" s="20" t="s">
        <v>31</v>
      </c>
      <c r="B39" s="20" t="s">
        <v>234</v>
      </c>
      <c r="C39" s="20" t="s">
        <v>235</v>
      </c>
      <c r="D39" s="20">
        <v>32.0</v>
      </c>
      <c r="E39" s="20">
        <v>1771.0</v>
      </c>
      <c r="F39" s="25">
        <v>55.3</v>
      </c>
      <c r="G39" s="20">
        <v>24.0</v>
      </c>
      <c r="H39" s="20" t="s">
        <v>101</v>
      </c>
      <c r="I39" s="20" t="s">
        <v>71</v>
      </c>
      <c r="J39" s="27">
        <v>9.0</v>
      </c>
      <c r="K39" s="20">
        <f>vlookup(J39,Superbowls!$A$2:$B$115,2,FALSE)</f>
        <v>2017</v>
      </c>
      <c r="L39" s="28" t="s">
        <v>36</v>
      </c>
    </row>
    <row r="40">
      <c r="A40" s="20" t="s">
        <v>31</v>
      </c>
      <c r="B40" s="20" t="s">
        <v>159</v>
      </c>
      <c r="C40" s="20" t="s">
        <v>160</v>
      </c>
      <c r="D40" s="20">
        <v>84.0</v>
      </c>
      <c r="E40" s="20">
        <v>3345.0</v>
      </c>
      <c r="F40" s="25">
        <v>39.8</v>
      </c>
      <c r="G40" s="20">
        <v>46.0</v>
      </c>
      <c r="H40" s="20" t="s">
        <v>54</v>
      </c>
      <c r="I40" s="20" t="s">
        <v>42</v>
      </c>
      <c r="J40" s="27">
        <v>10.0</v>
      </c>
      <c r="K40" s="20">
        <f>vlookup(J40,Superbowls!$A$2:$B$115,2,FALSE)</f>
        <v>2018</v>
      </c>
      <c r="L40" s="28" t="s">
        <v>36</v>
      </c>
    </row>
    <row r="41">
      <c r="A41" s="20" t="s">
        <v>31</v>
      </c>
      <c r="B41" s="20" t="s">
        <v>237</v>
      </c>
      <c r="C41" s="20" t="s">
        <v>238</v>
      </c>
      <c r="D41" s="20">
        <v>70.0</v>
      </c>
      <c r="E41" s="20">
        <v>3287.0</v>
      </c>
      <c r="F41" s="25">
        <v>46.9</v>
      </c>
      <c r="G41" s="20">
        <v>46.0</v>
      </c>
      <c r="H41" s="20" t="s">
        <v>156</v>
      </c>
      <c r="I41" s="20" t="s">
        <v>12</v>
      </c>
      <c r="J41" s="27">
        <v>10.0</v>
      </c>
      <c r="K41" s="20">
        <f>vlookup(J41,Superbowls!$A$2:$B$115,2,FALSE)</f>
        <v>2018</v>
      </c>
      <c r="L41" s="28" t="s">
        <v>36</v>
      </c>
    </row>
    <row r="42">
      <c r="A42" s="20" t="s">
        <v>65</v>
      </c>
      <c r="B42" s="20" t="s">
        <v>239</v>
      </c>
      <c r="C42" s="14"/>
      <c r="D42" s="20">
        <v>50.0</v>
      </c>
      <c r="E42" s="20">
        <v>1158.0</v>
      </c>
      <c r="F42" s="25">
        <v>23.1</v>
      </c>
      <c r="G42" s="20">
        <v>8.0</v>
      </c>
      <c r="H42" s="20" t="s">
        <v>81</v>
      </c>
      <c r="I42" s="20" t="s">
        <v>63</v>
      </c>
      <c r="J42" s="27">
        <v>10.0</v>
      </c>
      <c r="K42" s="20">
        <f>vlookup(J42,Superbowls!$A$2:$B$115,2,FALSE)</f>
        <v>2018</v>
      </c>
      <c r="L42" s="28" t="s">
        <v>36</v>
      </c>
    </row>
    <row r="43">
      <c r="A43" s="20" t="s">
        <v>31</v>
      </c>
      <c r="B43" s="20" t="s">
        <v>141</v>
      </c>
      <c r="C43" s="20" t="s">
        <v>142</v>
      </c>
      <c r="D43" s="20">
        <v>47.0</v>
      </c>
      <c r="E43" s="20">
        <v>2128.0</v>
      </c>
      <c r="F43" s="25">
        <v>45.2</v>
      </c>
      <c r="G43" s="20">
        <v>32.0</v>
      </c>
      <c r="H43" s="20" t="s">
        <v>81</v>
      </c>
      <c r="I43" s="20" t="s">
        <v>63</v>
      </c>
      <c r="J43" s="27">
        <v>10.0</v>
      </c>
      <c r="K43" s="20">
        <f>vlookup(J43,Superbowls!$A$2:$B$115,2,FALSE)</f>
        <v>2018</v>
      </c>
      <c r="L43" s="28" t="s">
        <v>36</v>
      </c>
    </row>
    <row r="44">
      <c r="A44" s="20" t="s">
        <v>65</v>
      </c>
      <c r="B44" s="20" t="s">
        <v>24</v>
      </c>
      <c r="C44" s="20" t="s">
        <v>110</v>
      </c>
      <c r="D44" s="20">
        <v>45.0</v>
      </c>
      <c r="E44" s="20">
        <v>1084.0</v>
      </c>
      <c r="F44" s="25">
        <v>24.0</v>
      </c>
      <c r="G44" s="20">
        <v>14.0</v>
      </c>
      <c r="H44" s="20" t="s">
        <v>62</v>
      </c>
      <c r="I44" s="20" t="s">
        <v>30</v>
      </c>
      <c r="J44" s="27">
        <v>10.0</v>
      </c>
      <c r="K44" s="20">
        <f>vlookup(J44,Superbowls!$A$2:$B$115,2,FALSE)</f>
        <v>2018</v>
      </c>
      <c r="L44" s="28" t="s">
        <v>36</v>
      </c>
    </row>
    <row r="45">
      <c r="A45" s="20" t="s">
        <v>65</v>
      </c>
      <c r="B45" s="20" t="s">
        <v>241</v>
      </c>
      <c r="C45" s="20" t="s">
        <v>33</v>
      </c>
      <c r="D45" s="20">
        <v>44.0</v>
      </c>
      <c r="E45" s="20">
        <v>805.0</v>
      </c>
      <c r="F45" s="25">
        <v>18.2</v>
      </c>
      <c r="G45" s="20">
        <v>6.0</v>
      </c>
      <c r="H45" s="20" t="s">
        <v>89</v>
      </c>
      <c r="I45" s="20" t="s">
        <v>71</v>
      </c>
      <c r="J45" s="27">
        <v>10.0</v>
      </c>
      <c r="K45" s="20">
        <f>vlookup(J45,Superbowls!$A$2:$B$115,2,FALSE)</f>
        <v>2018</v>
      </c>
      <c r="L45" s="28" t="s">
        <v>36</v>
      </c>
    </row>
    <row r="46">
      <c r="A46" s="20" t="s">
        <v>65</v>
      </c>
      <c r="B46" s="20" t="s">
        <v>228</v>
      </c>
      <c r="C46" s="20" t="s">
        <v>242</v>
      </c>
      <c r="D46" s="20">
        <v>42.0</v>
      </c>
      <c r="E46" s="20">
        <v>646.0</v>
      </c>
      <c r="F46" s="25">
        <v>15.3</v>
      </c>
      <c r="G46" s="20">
        <v>10.0</v>
      </c>
      <c r="H46" s="20" t="s">
        <v>156</v>
      </c>
      <c r="I46" s="20" t="s">
        <v>12</v>
      </c>
      <c r="J46" s="27">
        <v>10.0</v>
      </c>
      <c r="K46" s="20">
        <f>vlookup(J46,Superbowls!$A$2:$B$115,2,FALSE)</f>
        <v>2018</v>
      </c>
      <c r="L46" s="28" t="s">
        <v>36</v>
      </c>
    </row>
    <row r="47">
      <c r="A47" s="20" t="s">
        <v>22</v>
      </c>
      <c r="B47" s="20" t="s">
        <v>153</v>
      </c>
      <c r="C47" s="20" t="s">
        <v>113</v>
      </c>
      <c r="D47" s="20">
        <v>42.0</v>
      </c>
      <c r="E47" s="20">
        <v>1864.0</v>
      </c>
      <c r="F47" s="25">
        <v>44.3</v>
      </c>
      <c r="G47" s="20">
        <v>28.0</v>
      </c>
      <c r="H47" s="20" t="s">
        <v>89</v>
      </c>
      <c r="I47" s="20" t="s">
        <v>71</v>
      </c>
      <c r="J47" s="27">
        <v>10.0</v>
      </c>
      <c r="K47" s="20">
        <f>vlookup(J47,Superbowls!$A$2:$B$115,2,FALSE)</f>
        <v>2018</v>
      </c>
      <c r="L47" s="28" t="s">
        <v>36</v>
      </c>
    </row>
    <row r="48">
      <c r="A48" s="20" t="s">
        <v>31</v>
      </c>
      <c r="B48" s="20" t="s">
        <v>148</v>
      </c>
      <c r="C48" s="20" t="s">
        <v>33</v>
      </c>
      <c r="D48" s="20">
        <v>40.0</v>
      </c>
      <c r="E48" s="20">
        <v>1111.0</v>
      </c>
      <c r="F48" s="25">
        <v>27.7</v>
      </c>
      <c r="G48" s="20">
        <v>8.0</v>
      </c>
      <c r="H48" s="20" t="s">
        <v>89</v>
      </c>
      <c r="I48" s="20" t="s">
        <v>71</v>
      </c>
      <c r="J48" s="27">
        <v>10.0</v>
      </c>
      <c r="K48" s="20">
        <f>vlookup(J48,Superbowls!$A$2:$B$115,2,FALSE)</f>
        <v>2018</v>
      </c>
      <c r="L48" s="28" t="s">
        <v>36</v>
      </c>
    </row>
    <row r="49">
      <c r="A49" s="20" t="s">
        <v>65</v>
      </c>
      <c r="B49" s="20" t="s">
        <v>247</v>
      </c>
      <c r="C49" s="20" t="s">
        <v>46</v>
      </c>
      <c r="D49" s="20">
        <v>52.0</v>
      </c>
      <c r="E49" s="20">
        <v>1189.0</v>
      </c>
      <c r="F49" s="25">
        <v>22.8</v>
      </c>
      <c r="G49" s="20">
        <v>19.0</v>
      </c>
      <c r="H49" s="20" t="s">
        <v>112</v>
      </c>
      <c r="I49" s="20" t="s">
        <v>30</v>
      </c>
      <c r="J49" s="27">
        <v>11.0</v>
      </c>
      <c r="K49" s="20">
        <f>vlookup(J49,Superbowls!$A$2:$B$115,2,FALSE)</f>
        <v>2019</v>
      </c>
      <c r="L49" s="28" t="s">
        <v>36</v>
      </c>
    </row>
    <row r="50">
      <c r="A50" s="20" t="s">
        <v>65</v>
      </c>
      <c r="B50" s="20" t="s">
        <v>96</v>
      </c>
      <c r="C50" s="20" t="s">
        <v>248</v>
      </c>
      <c r="D50" s="20">
        <v>49.0</v>
      </c>
      <c r="E50" s="20">
        <v>943.0</v>
      </c>
      <c r="F50" s="25">
        <v>19.2</v>
      </c>
      <c r="G50" s="20">
        <v>8.0</v>
      </c>
      <c r="H50" s="20" t="s">
        <v>57</v>
      </c>
      <c r="I50" s="20" t="s">
        <v>71</v>
      </c>
      <c r="J50" s="27">
        <v>11.0</v>
      </c>
      <c r="K50" s="20">
        <f>vlookup(J50,Superbowls!$A$2:$B$115,2,FALSE)</f>
        <v>2019</v>
      </c>
      <c r="L50" s="28" t="s">
        <v>36</v>
      </c>
    </row>
    <row r="51">
      <c r="A51" s="20" t="s">
        <v>31</v>
      </c>
      <c r="B51" s="20" t="s">
        <v>249</v>
      </c>
      <c r="C51" s="20" t="s">
        <v>33</v>
      </c>
      <c r="D51" s="20">
        <v>47.0</v>
      </c>
      <c r="E51" s="20">
        <v>1709.0</v>
      </c>
      <c r="F51" s="25">
        <v>36.3</v>
      </c>
      <c r="G51" s="20">
        <v>20.0</v>
      </c>
      <c r="H51" s="20" t="s">
        <v>29</v>
      </c>
      <c r="I51" s="20" t="s">
        <v>42</v>
      </c>
      <c r="J51" s="27">
        <v>11.0</v>
      </c>
      <c r="K51" s="20">
        <f>vlookup(J51,Superbowls!$A$2:$B$115,2,FALSE)</f>
        <v>2019</v>
      </c>
      <c r="L51" s="28" t="s">
        <v>36</v>
      </c>
    </row>
    <row r="52">
      <c r="A52" s="20" t="s">
        <v>22</v>
      </c>
      <c r="B52" s="20" t="s">
        <v>253</v>
      </c>
      <c r="C52" s="20" t="s">
        <v>49</v>
      </c>
      <c r="D52" s="20">
        <v>43.0</v>
      </c>
      <c r="E52" s="20">
        <v>1566.0</v>
      </c>
      <c r="F52" s="25">
        <v>36.4</v>
      </c>
      <c r="G52" s="20">
        <v>14.0</v>
      </c>
      <c r="H52" s="20" t="s">
        <v>57</v>
      </c>
      <c r="I52" s="20" t="s">
        <v>71</v>
      </c>
      <c r="J52" s="27">
        <v>11.0</v>
      </c>
      <c r="K52" s="20">
        <f>vlookup(J52,Superbowls!$A$2:$B$115,2,FALSE)</f>
        <v>2019</v>
      </c>
      <c r="L52" s="28" t="s">
        <v>36</v>
      </c>
    </row>
    <row r="53">
      <c r="A53" s="20" t="s">
        <v>22</v>
      </c>
      <c r="B53" s="20" t="s">
        <v>184</v>
      </c>
      <c r="C53" s="20" t="s">
        <v>37</v>
      </c>
      <c r="D53" s="20">
        <v>38.0</v>
      </c>
      <c r="E53" s="20">
        <v>365.0</v>
      </c>
      <c r="F53" s="25">
        <v>9.6</v>
      </c>
      <c r="G53" s="20">
        <v>3.0</v>
      </c>
      <c r="H53" s="20" t="s">
        <v>29</v>
      </c>
      <c r="I53" s="20" t="s">
        <v>42</v>
      </c>
      <c r="J53" s="27">
        <v>11.0</v>
      </c>
      <c r="K53" s="20">
        <f>vlookup(J53,Superbowls!$A$2:$B$115,2,FALSE)</f>
        <v>2019</v>
      </c>
      <c r="L53" s="28" t="s">
        <v>36</v>
      </c>
    </row>
    <row r="54">
      <c r="A54" s="20" t="s">
        <v>65</v>
      </c>
      <c r="B54" s="20" t="s">
        <v>256</v>
      </c>
      <c r="C54" s="20" t="s">
        <v>257</v>
      </c>
      <c r="D54" s="20">
        <v>33.0</v>
      </c>
      <c r="E54" s="20">
        <v>577.0</v>
      </c>
      <c r="F54" s="25">
        <v>17.4</v>
      </c>
      <c r="G54" s="20">
        <v>3.0</v>
      </c>
      <c r="H54" s="20" t="s">
        <v>107</v>
      </c>
      <c r="I54" s="20" t="s">
        <v>35</v>
      </c>
      <c r="J54" s="27">
        <v>11.0</v>
      </c>
      <c r="K54" s="20">
        <f>vlookup(J54,Superbowls!$A$2:$B$115,2,FALSE)</f>
        <v>2019</v>
      </c>
      <c r="L54" s="28" t="s">
        <v>36</v>
      </c>
    </row>
    <row r="55">
      <c r="A55" s="20" t="s">
        <v>22</v>
      </c>
      <c r="B55" s="20" t="s">
        <v>136</v>
      </c>
      <c r="C55" s="20" t="s">
        <v>137</v>
      </c>
      <c r="D55" s="20">
        <v>13.0</v>
      </c>
      <c r="E55" s="20">
        <v>581.0</v>
      </c>
      <c r="F55" s="25">
        <v>44.6</v>
      </c>
      <c r="G55" s="20">
        <v>8.0</v>
      </c>
      <c r="H55" s="20" t="s">
        <v>107</v>
      </c>
      <c r="I55" s="20" t="s">
        <v>35</v>
      </c>
      <c r="J55" s="27">
        <v>11.0</v>
      </c>
      <c r="K55" s="20">
        <f>vlookup(J55,Superbowls!$A$2:$B$115,2,FALSE)</f>
        <v>2019</v>
      </c>
      <c r="L55" s="28" t="s">
        <v>36</v>
      </c>
    </row>
    <row r="56">
      <c r="A56" s="20" t="s">
        <v>31</v>
      </c>
      <c r="B56" s="20" t="s">
        <v>216</v>
      </c>
      <c r="C56" s="20" t="s">
        <v>217</v>
      </c>
      <c r="D56" s="20">
        <v>19.0</v>
      </c>
      <c r="E56" s="20">
        <v>494.0</v>
      </c>
      <c r="F56" s="25">
        <v>26.0</v>
      </c>
      <c r="G56" s="20">
        <v>3.0</v>
      </c>
      <c r="H56" s="20" t="s">
        <v>107</v>
      </c>
      <c r="I56" s="20" t="s">
        <v>35</v>
      </c>
      <c r="J56" s="27">
        <v>11.0</v>
      </c>
      <c r="K56" s="20">
        <f>vlookup(J56,Superbowls!$A$2:$B$115,2,FALSE)</f>
        <v>2019</v>
      </c>
      <c r="L56" s="28" t="s">
        <v>36</v>
      </c>
    </row>
    <row r="57">
      <c r="A57" s="20" t="s">
        <v>31</v>
      </c>
      <c r="B57" s="20" t="s">
        <v>267</v>
      </c>
      <c r="C57" s="20" t="s">
        <v>50</v>
      </c>
      <c r="D57" s="20">
        <v>28.0</v>
      </c>
      <c r="E57" s="20">
        <v>1135.0</v>
      </c>
      <c r="F57" s="25">
        <v>40.5</v>
      </c>
      <c r="G57" s="20">
        <v>19.0</v>
      </c>
      <c r="H57" s="20" t="s">
        <v>57</v>
      </c>
      <c r="I57" s="20" t="s">
        <v>71</v>
      </c>
      <c r="J57" s="27">
        <v>11.0</v>
      </c>
      <c r="K57" s="20">
        <f>vlookup(J57,Superbowls!$A$2:$B$115,2,FALSE)</f>
        <v>2019</v>
      </c>
      <c r="L57" s="28" t="s">
        <v>36</v>
      </c>
    </row>
    <row r="58">
      <c r="A58" s="20" t="s">
        <v>65</v>
      </c>
      <c r="B58" s="20" t="s">
        <v>67</v>
      </c>
      <c r="C58" s="20" t="s">
        <v>66</v>
      </c>
      <c r="D58" s="20">
        <v>30.0</v>
      </c>
      <c r="E58" s="20">
        <v>571.0</v>
      </c>
      <c r="F58" s="25">
        <v>19.0</v>
      </c>
      <c r="G58" s="20">
        <v>4.0</v>
      </c>
      <c r="H58" s="20" t="s">
        <v>29</v>
      </c>
      <c r="I58" s="20" t="s">
        <v>42</v>
      </c>
      <c r="J58" s="27">
        <v>11.0</v>
      </c>
      <c r="K58" s="20">
        <f>vlookup(J58,Superbowls!$A$2:$B$115,2,FALSE)</f>
        <v>2019</v>
      </c>
      <c r="L58" s="28" t="s">
        <v>36</v>
      </c>
    </row>
    <row r="59">
      <c r="A59" s="20" t="s">
        <v>31</v>
      </c>
      <c r="B59" s="20" t="s">
        <v>216</v>
      </c>
      <c r="C59" s="20" t="s">
        <v>273</v>
      </c>
      <c r="D59" s="20">
        <v>72.0</v>
      </c>
      <c r="E59" s="20">
        <v>1579.0</v>
      </c>
      <c r="F59" s="25">
        <v>21.9</v>
      </c>
      <c r="G59" s="20">
        <v>12.0</v>
      </c>
      <c r="H59" s="20" t="s">
        <v>41</v>
      </c>
      <c r="I59" s="20" t="s">
        <v>71</v>
      </c>
      <c r="J59" s="20">
        <v>12.0</v>
      </c>
      <c r="K59" s="20">
        <f>vlookup(J59,Superbowls!$A$2:$B$115,2,FALSE)</f>
        <v>2020</v>
      </c>
      <c r="L59" s="28" t="s">
        <v>36</v>
      </c>
    </row>
    <row r="60">
      <c r="A60" s="20" t="s">
        <v>31</v>
      </c>
      <c r="B60" s="20" t="s">
        <v>279</v>
      </c>
      <c r="C60" s="20" t="s">
        <v>40</v>
      </c>
      <c r="D60" s="20">
        <v>56.0</v>
      </c>
      <c r="E60" s="20">
        <v>1104.0</v>
      </c>
      <c r="F60" s="25">
        <v>19.7</v>
      </c>
      <c r="G60" s="20">
        <v>14.0</v>
      </c>
      <c r="H60" s="20" t="s">
        <v>41</v>
      </c>
      <c r="I60" s="20" t="s">
        <v>71</v>
      </c>
      <c r="J60" s="20">
        <v>12.0</v>
      </c>
      <c r="K60" s="20">
        <f>vlookup(J60,Superbowls!$A$2:$B$115,2,FALSE)</f>
        <v>2020</v>
      </c>
      <c r="L60" s="28" t="s">
        <v>36</v>
      </c>
    </row>
    <row r="61">
      <c r="A61" s="20" t="s">
        <v>65</v>
      </c>
      <c r="B61" s="20" t="s">
        <v>283</v>
      </c>
      <c r="C61" s="20" t="s">
        <v>284</v>
      </c>
      <c r="D61" s="20">
        <v>33.0</v>
      </c>
      <c r="E61" s="20">
        <v>754.0</v>
      </c>
      <c r="F61" s="25">
        <v>22.8</v>
      </c>
      <c r="G61" s="20">
        <v>6.0</v>
      </c>
      <c r="H61" s="20" t="s">
        <v>121</v>
      </c>
      <c r="I61" s="20" t="s">
        <v>63</v>
      </c>
      <c r="J61" s="20">
        <v>12.0</v>
      </c>
      <c r="K61" s="20">
        <f>vlookup(J61,Superbowls!$A$2:$B$115,2,FALSE)</f>
        <v>2020</v>
      </c>
      <c r="L61" s="28" t="s">
        <v>36</v>
      </c>
    </row>
    <row r="62">
      <c r="A62" s="20" t="s">
        <v>31</v>
      </c>
      <c r="B62" s="20" t="s">
        <v>24</v>
      </c>
      <c r="C62" s="20" t="s">
        <v>33</v>
      </c>
      <c r="D62" s="20">
        <v>33.0</v>
      </c>
      <c r="E62" s="20">
        <v>853.0</v>
      </c>
      <c r="F62" s="25">
        <v>25.8</v>
      </c>
      <c r="G62" s="20">
        <v>7.0</v>
      </c>
      <c r="H62" s="20" t="s">
        <v>121</v>
      </c>
      <c r="I62" s="20" t="s">
        <v>63</v>
      </c>
      <c r="J62" s="20">
        <v>12.0</v>
      </c>
      <c r="K62" s="20">
        <f>vlookup(J62,Superbowls!$A$2:$B$115,2,FALSE)</f>
        <v>2020</v>
      </c>
      <c r="L62" s="28" t="s">
        <v>36</v>
      </c>
    </row>
    <row r="63">
      <c r="A63" s="20" t="s">
        <v>31</v>
      </c>
      <c r="B63" s="20" t="s">
        <v>178</v>
      </c>
      <c r="C63" s="20" t="s">
        <v>292</v>
      </c>
      <c r="D63" s="20">
        <v>19.0</v>
      </c>
      <c r="E63" s="20">
        <v>1021.0</v>
      </c>
      <c r="F63" s="25">
        <v>53.7</v>
      </c>
      <c r="G63" s="20">
        <v>11.0</v>
      </c>
      <c r="H63" s="20" t="s">
        <v>121</v>
      </c>
      <c r="I63" s="20" t="s">
        <v>63</v>
      </c>
      <c r="J63" s="20">
        <v>12.0</v>
      </c>
      <c r="K63" s="20">
        <f>vlookup(J63,Superbowls!$A$2:$B$115,2,FALSE)</f>
        <v>2020</v>
      </c>
      <c r="L63" s="28" t="s">
        <v>36</v>
      </c>
    </row>
    <row r="64">
      <c r="A64" s="20" t="s">
        <v>31</v>
      </c>
      <c r="B64" s="20" t="s">
        <v>295</v>
      </c>
      <c r="C64" s="20" t="s">
        <v>296</v>
      </c>
      <c r="D64" s="20">
        <v>14.0</v>
      </c>
      <c r="E64" s="20">
        <v>544.0</v>
      </c>
      <c r="F64" s="25">
        <v>38.8</v>
      </c>
      <c r="G64" s="20">
        <v>11.0</v>
      </c>
      <c r="H64" s="20" t="s">
        <v>41</v>
      </c>
      <c r="I64" s="20" t="s">
        <v>71</v>
      </c>
      <c r="J64" s="20">
        <v>12.0</v>
      </c>
      <c r="K64" s="20">
        <f>vlookup(J64,Superbowls!$A$2:$B$115,2,FALSE)</f>
        <v>2020</v>
      </c>
      <c r="L64" s="28" t="s">
        <v>36</v>
      </c>
    </row>
    <row r="65">
      <c r="A65" s="20" t="s">
        <v>31</v>
      </c>
      <c r="B65" s="20" t="s">
        <v>234</v>
      </c>
      <c r="C65" s="20" t="s">
        <v>248</v>
      </c>
      <c r="D65" s="20">
        <v>26.0</v>
      </c>
      <c r="E65" s="20">
        <v>736.0</v>
      </c>
      <c r="F65" s="25">
        <v>28.3</v>
      </c>
      <c r="G65" s="20">
        <v>11.0</v>
      </c>
      <c r="H65" s="20" t="s">
        <v>101</v>
      </c>
      <c r="I65" s="20" t="s">
        <v>30</v>
      </c>
      <c r="J65" s="20">
        <v>12.0</v>
      </c>
      <c r="K65" s="20">
        <f>vlookup(J65,Superbowls!$A$2:$B$115,2,FALSE)</f>
        <v>2020</v>
      </c>
      <c r="L65" s="28" t="s">
        <v>36</v>
      </c>
    </row>
    <row r="66">
      <c r="A66" s="20" t="s">
        <v>22</v>
      </c>
      <c r="B66" s="20" t="s">
        <v>50</v>
      </c>
      <c r="C66" s="20" t="s">
        <v>51</v>
      </c>
      <c r="D66" s="20">
        <v>4.0</v>
      </c>
      <c r="E66" s="20">
        <v>157.0</v>
      </c>
      <c r="F66" s="25">
        <v>39.2</v>
      </c>
      <c r="G66" s="20">
        <v>2.0</v>
      </c>
      <c r="H66" s="20" t="s">
        <v>29</v>
      </c>
      <c r="I66" s="20" t="s">
        <v>71</v>
      </c>
      <c r="J66" s="20">
        <v>13.0</v>
      </c>
      <c r="K66" s="20">
        <f>vlookup(J66,Superbowls!$A$2:$B$115,2,FALSE)</f>
        <v>2021</v>
      </c>
      <c r="L66" s="28" t="s">
        <v>36</v>
      </c>
    </row>
    <row r="67">
      <c r="A67" s="20" t="s">
        <v>31</v>
      </c>
      <c r="B67" s="20" t="s">
        <v>249</v>
      </c>
      <c r="C67" s="20" t="s">
        <v>33</v>
      </c>
      <c r="D67" s="20">
        <v>57.0</v>
      </c>
      <c r="E67" s="20">
        <v>1192.0</v>
      </c>
      <c r="F67" s="25">
        <v>20.9</v>
      </c>
      <c r="G67" s="20">
        <v>13.0</v>
      </c>
      <c r="H67" s="20" t="s">
        <v>29</v>
      </c>
      <c r="I67" s="20" t="s">
        <v>71</v>
      </c>
      <c r="J67" s="20">
        <v>13.0</v>
      </c>
      <c r="K67" s="20">
        <f>vlookup(J67,Superbowls!$A$2:$B$115,2,FALSE)</f>
        <v>2021</v>
      </c>
      <c r="L67" s="28" t="s">
        <v>36</v>
      </c>
    </row>
    <row r="68">
      <c r="A68" s="20" t="s">
        <v>31</v>
      </c>
      <c r="B68" s="20" t="s">
        <v>32</v>
      </c>
      <c r="C68" s="20" t="s">
        <v>33</v>
      </c>
      <c r="D68" s="20">
        <v>66.0</v>
      </c>
      <c r="E68" s="20">
        <v>2796.0</v>
      </c>
      <c r="F68" s="25">
        <v>42.3</v>
      </c>
      <c r="G68" s="20">
        <v>56.0</v>
      </c>
      <c r="H68" s="20" t="s">
        <v>29</v>
      </c>
      <c r="I68" s="20" t="s">
        <v>71</v>
      </c>
      <c r="J68" s="20">
        <v>13.0</v>
      </c>
      <c r="K68" s="20">
        <f>vlookup(J68,Superbowls!$A$2:$B$115,2,FALSE)</f>
        <v>2021</v>
      </c>
      <c r="L68" s="28" t="s">
        <v>36</v>
      </c>
    </row>
    <row r="69">
      <c r="A69" s="20" t="s">
        <v>65</v>
      </c>
      <c r="B69" s="20" t="s">
        <v>66</v>
      </c>
      <c r="C69" s="20" t="s">
        <v>67</v>
      </c>
      <c r="D69" s="20">
        <v>51.0</v>
      </c>
      <c r="E69" s="20">
        <v>947.0</v>
      </c>
      <c r="F69" s="25">
        <v>18.5</v>
      </c>
      <c r="G69" s="20">
        <v>14.0</v>
      </c>
      <c r="H69" s="20" t="s">
        <v>29</v>
      </c>
      <c r="I69" s="20" t="s">
        <v>71</v>
      </c>
      <c r="J69" s="20">
        <v>13.0</v>
      </c>
      <c r="K69" s="20">
        <f>vlookup(J69,Superbowls!$A$2:$B$115,2,FALSE)</f>
        <v>2021</v>
      </c>
      <c r="L69" s="28" t="s">
        <v>36</v>
      </c>
    </row>
    <row r="70">
      <c r="A70" s="20" t="s">
        <v>65</v>
      </c>
      <c r="B70" s="20" t="s">
        <v>306</v>
      </c>
      <c r="C70" s="20" t="s">
        <v>59</v>
      </c>
      <c r="D70" s="20">
        <v>51.0</v>
      </c>
      <c r="E70" s="20">
        <v>1651.0</v>
      </c>
      <c r="F70" s="25">
        <v>32.3</v>
      </c>
      <c r="G70" s="20">
        <v>25.0</v>
      </c>
      <c r="H70" s="20" t="s">
        <v>29</v>
      </c>
      <c r="I70" s="20" t="s">
        <v>71</v>
      </c>
      <c r="J70" s="20">
        <v>13.0</v>
      </c>
      <c r="K70" s="20">
        <f>vlookup(J70,Superbowls!$A$2:$B$115,2,FALSE)</f>
        <v>2021</v>
      </c>
      <c r="L70" s="28" t="s">
        <v>36</v>
      </c>
    </row>
    <row r="71">
      <c r="A71" s="20" t="s">
        <v>22</v>
      </c>
      <c r="B71" s="20" t="s">
        <v>210</v>
      </c>
      <c r="C71" s="20" t="s">
        <v>110</v>
      </c>
      <c r="D71" s="20">
        <v>2.0</v>
      </c>
      <c r="E71" s="20">
        <v>31.0</v>
      </c>
      <c r="F71" s="25">
        <v>15.5</v>
      </c>
      <c r="G71" s="20">
        <v>0.0</v>
      </c>
      <c r="H71" s="20" t="s">
        <v>62</v>
      </c>
      <c r="I71" s="20" t="s">
        <v>42</v>
      </c>
      <c r="J71" s="20">
        <v>13.0</v>
      </c>
      <c r="K71" s="20">
        <f>vlookup(J71,Superbowls!$A$2:$B$115,2,FALSE)</f>
        <v>2021</v>
      </c>
      <c r="L71" s="28" t="s">
        <v>36</v>
      </c>
    </row>
    <row r="72">
      <c r="A72" s="20" t="s">
        <v>22</v>
      </c>
      <c r="B72" s="20" t="s">
        <v>211</v>
      </c>
      <c r="C72" s="20" t="s">
        <v>212</v>
      </c>
      <c r="D72" s="20">
        <v>29.0</v>
      </c>
      <c r="E72" s="20">
        <v>861.0</v>
      </c>
      <c r="F72" s="25">
        <v>29.6</v>
      </c>
      <c r="G72" s="20">
        <v>12.0</v>
      </c>
      <c r="H72" s="20" t="s">
        <v>62</v>
      </c>
      <c r="I72" s="20" t="s">
        <v>42</v>
      </c>
      <c r="J72" s="20">
        <v>13.0</v>
      </c>
      <c r="K72" s="20">
        <f>vlookup(J72,Superbowls!$A$2:$B$115,2,FALSE)</f>
        <v>2021</v>
      </c>
      <c r="L72" s="28" t="s">
        <v>36</v>
      </c>
    </row>
    <row r="73">
      <c r="A73" s="20" t="s">
        <v>31</v>
      </c>
      <c r="B73" s="20" t="s">
        <v>308</v>
      </c>
      <c r="C73" s="20" t="s">
        <v>190</v>
      </c>
      <c r="D73" s="20">
        <v>55.0</v>
      </c>
      <c r="E73" s="20">
        <v>1414.0</v>
      </c>
      <c r="F73" s="25">
        <v>25.7</v>
      </c>
      <c r="G73" s="20">
        <v>17.0</v>
      </c>
      <c r="H73" s="20" t="s">
        <v>62</v>
      </c>
      <c r="I73" s="20" t="s">
        <v>42</v>
      </c>
      <c r="J73" s="20">
        <v>13.0</v>
      </c>
      <c r="K73" s="20">
        <f>vlookup(J73,Superbowls!$A$2:$B$115,2,FALSE)</f>
        <v>2021</v>
      </c>
      <c r="L73" s="28" t="s">
        <v>36</v>
      </c>
    </row>
    <row r="74">
      <c r="A74" s="20" t="s">
        <v>31</v>
      </c>
      <c r="B74" s="20" t="s">
        <v>297</v>
      </c>
      <c r="C74" s="20" t="s">
        <v>298</v>
      </c>
      <c r="D74" s="20">
        <v>8.0</v>
      </c>
      <c r="E74" s="20">
        <v>282.0</v>
      </c>
      <c r="F74" s="25">
        <v>35.2</v>
      </c>
      <c r="G74" s="20">
        <v>0.0</v>
      </c>
      <c r="H74" s="20" t="s">
        <v>62</v>
      </c>
      <c r="I74" s="20" t="s">
        <v>42</v>
      </c>
      <c r="J74" s="20">
        <v>13.0</v>
      </c>
      <c r="K74" s="20">
        <f>vlookup(J74,Superbowls!$A$2:$B$115,2,FALSE)</f>
        <v>2021</v>
      </c>
      <c r="L74" s="28" t="s">
        <v>36</v>
      </c>
    </row>
    <row r="75">
      <c r="A75" s="20" t="s">
        <v>65</v>
      </c>
      <c r="B75" s="20" t="s">
        <v>24</v>
      </c>
      <c r="C75" s="20" t="s">
        <v>110</v>
      </c>
      <c r="D75" s="20">
        <v>19.0</v>
      </c>
      <c r="E75" s="20">
        <v>384.0</v>
      </c>
      <c r="F75" s="25">
        <v>20.2</v>
      </c>
      <c r="G75" s="20">
        <v>4.0</v>
      </c>
      <c r="H75" s="20" t="s">
        <v>62</v>
      </c>
      <c r="I75" s="20" t="s">
        <v>42</v>
      </c>
      <c r="J75" s="20">
        <v>13.0</v>
      </c>
      <c r="K75" s="20">
        <f>vlookup(J75,Superbowls!$A$2:$B$115,2,FALSE)</f>
        <v>2021</v>
      </c>
      <c r="L75" s="28" t="s">
        <v>36</v>
      </c>
    </row>
    <row r="76">
      <c r="A76" s="20" t="s">
        <v>22</v>
      </c>
      <c r="B76" s="20" t="s">
        <v>43</v>
      </c>
      <c r="C76" s="20" t="s">
        <v>44</v>
      </c>
      <c r="D76" s="20">
        <v>6.0</v>
      </c>
      <c r="E76" s="20">
        <v>241.0</v>
      </c>
      <c r="F76" s="25">
        <v>40.1</v>
      </c>
      <c r="G76" s="20">
        <v>2.0</v>
      </c>
      <c r="H76" s="20" t="s">
        <v>34</v>
      </c>
      <c r="I76" s="20" t="s">
        <v>30</v>
      </c>
      <c r="J76" s="20">
        <v>13.0</v>
      </c>
      <c r="K76" s="20">
        <f>vlookup(J76,Superbowls!$A$2:$B$115,2,FALSE)</f>
        <v>2021</v>
      </c>
      <c r="L76" s="28" t="s">
        <v>36</v>
      </c>
    </row>
    <row r="77">
      <c r="A77" s="20" t="s">
        <v>22</v>
      </c>
      <c r="B77" s="20" t="s">
        <v>317</v>
      </c>
      <c r="C77" s="20" t="s">
        <v>318</v>
      </c>
      <c r="D77" s="20">
        <v>1.0</v>
      </c>
      <c r="E77" s="20">
        <v>36.0</v>
      </c>
      <c r="F77" s="25">
        <v>36.0</v>
      </c>
      <c r="G77" s="20">
        <v>0.0</v>
      </c>
      <c r="H77" s="20" t="s">
        <v>34</v>
      </c>
      <c r="I77" s="20" t="s">
        <v>30</v>
      </c>
      <c r="J77" s="20">
        <v>13.0</v>
      </c>
      <c r="K77" s="20">
        <f>vlookup(J77,Superbowls!$A$2:$B$115,2,FALSE)</f>
        <v>2021</v>
      </c>
      <c r="L77" s="28" t="s">
        <v>36</v>
      </c>
    </row>
    <row r="78">
      <c r="A78" s="20" t="s">
        <v>31</v>
      </c>
      <c r="B78" s="20" t="s">
        <v>320</v>
      </c>
      <c r="C78" s="20" t="s">
        <v>321</v>
      </c>
      <c r="D78" s="20">
        <v>8.0</v>
      </c>
      <c r="E78" s="20">
        <v>245.0</v>
      </c>
      <c r="F78" s="25">
        <v>30.6</v>
      </c>
      <c r="G78" s="20">
        <v>1.0</v>
      </c>
      <c r="H78" s="20" t="s">
        <v>34</v>
      </c>
      <c r="I78" s="20" t="s">
        <v>30</v>
      </c>
      <c r="J78" s="20">
        <v>13.0</v>
      </c>
      <c r="K78" s="20">
        <f>vlookup(J78,Superbowls!$A$2:$B$115,2,FALSE)</f>
        <v>2021</v>
      </c>
      <c r="L78" s="28" t="s">
        <v>36</v>
      </c>
    </row>
    <row r="79">
      <c r="A79" s="20" t="s">
        <v>31</v>
      </c>
      <c r="B79" s="20" t="s">
        <v>323</v>
      </c>
      <c r="C79" s="20" t="s">
        <v>266</v>
      </c>
      <c r="D79" s="20">
        <v>18.0</v>
      </c>
      <c r="E79" s="20">
        <v>602.0</v>
      </c>
      <c r="F79" s="25">
        <v>33.4</v>
      </c>
      <c r="G79" s="20">
        <v>10.0</v>
      </c>
      <c r="H79" s="20" t="s">
        <v>34</v>
      </c>
      <c r="I79" s="20" t="s">
        <v>30</v>
      </c>
      <c r="J79" s="20">
        <v>13.0</v>
      </c>
      <c r="K79" s="20">
        <f>vlookup(J79,Superbowls!$A$2:$B$115,2,FALSE)</f>
        <v>2021</v>
      </c>
      <c r="L79" s="28" t="s">
        <v>36</v>
      </c>
    </row>
    <row r="80">
      <c r="A80" s="20" t="s">
        <v>65</v>
      </c>
      <c r="B80" s="20" t="s">
        <v>325</v>
      </c>
      <c r="C80" s="20" t="s">
        <v>327</v>
      </c>
      <c r="D80" s="20">
        <v>4.0</v>
      </c>
      <c r="E80" s="20">
        <v>93.0</v>
      </c>
      <c r="F80" s="25">
        <v>23.2</v>
      </c>
      <c r="G80" s="20">
        <v>0.0</v>
      </c>
      <c r="H80" s="20" t="s">
        <v>34</v>
      </c>
      <c r="I80" s="20" t="s">
        <v>30</v>
      </c>
      <c r="J80" s="20">
        <v>13.0</v>
      </c>
      <c r="K80" s="20">
        <f>vlookup(J80,Superbowls!$A$2:$B$115,2,FALSE)</f>
        <v>2021</v>
      </c>
      <c r="L80" s="28" t="s">
        <v>36</v>
      </c>
    </row>
    <row r="81">
      <c r="A81" s="20" t="s">
        <v>31</v>
      </c>
      <c r="B81" s="20" t="s">
        <v>178</v>
      </c>
      <c r="C81" s="20" t="s">
        <v>292</v>
      </c>
      <c r="D81" s="20">
        <v>25.0</v>
      </c>
      <c r="E81" s="20">
        <v>1146.0</v>
      </c>
      <c r="F81" s="25">
        <v>45.8</v>
      </c>
      <c r="G81" s="20">
        <v>15.0</v>
      </c>
      <c r="H81" s="20" t="s">
        <v>121</v>
      </c>
      <c r="I81" s="20" t="s">
        <v>63</v>
      </c>
      <c r="J81" s="20">
        <v>14.0</v>
      </c>
      <c r="K81" s="20">
        <f>vlookup(J81,Superbowls!$A$2:$B$115,2,FALSE)</f>
        <v>2022</v>
      </c>
      <c r="L81" s="28" t="s">
        <v>36</v>
      </c>
    </row>
    <row r="82">
      <c r="A82" s="20" t="s">
        <v>31</v>
      </c>
      <c r="B82" s="20" t="s">
        <v>50</v>
      </c>
      <c r="C82" s="20" t="s">
        <v>267</v>
      </c>
      <c r="D82" s="20">
        <v>21.0</v>
      </c>
      <c r="E82" s="20">
        <v>919.0</v>
      </c>
      <c r="F82" s="25">
        <v>43.7</v>
      </c>
      <c r="G82" s="20">
        <v>16.0</v>
      </c>
      <c r="H82" s="20" t="s">
        <v>57</v>
      </c>
      <c r="I82" s="20" t="s">
        <v>71</v>
      </c>
      <c r="J82" s="20">
        <v>14.0</v>
      </c>
      <c r="K82" s="20">
        <f>vlookup(J82,Superbowls!$A$2:$B$115,2,FALSE)</f>
        <v>2022</v>
      </c>
      <c r="L82" s="28" t="s">
        <v>36</v>
      </c>
    </row>
    <row r="83">
      <c r="A83" s="20" t="s">
        <v>31</v>
      </c>
      <c r="B83" s="20" t="s">
        <v>182</v>
      </c>
      <c r="C83" s="20" t="s">
        <v>183</v>
      </c>
      <c r="D83" s="20">
        <v>33.0</v>
      </c>
      <c r="E83" s="20">
        <v>1143.0</v>
      </c>
      <c r="F83" s="25">
        <v>34.6</v>
      </c>
      <c r="G83" s="20">
        <v>11.0</v>
      </c>
      <c r="H83" s="20" t="s">
        <v>114</v>
      </c>
      <c r="I83" s="20" t="s">
        <v>42</v>
      </c>
      <c r="J83" s="20">
        <v>14.0</v>
      </c>
      <c r="K83" s="20">
        <f>vlookup(J83,Superbowls!$A$2:$B$115,2,FALSE)</f>
        <v>2022</v>
      </c>
      <c r="L83" s="28" t="s">
        <v>36</v>
      </c>
    </row>
    <row r="84">
      <c r="A84" s="20" t="s">
        <v>22</v>
      </c>
      <c r="B84" s="20" t="s">
        <v>136</v>
      </c>
      <c r="C84" s="20" t="s">
        <v>137</v>
      </c>
      <c r="D84" s="20">
        <v>24.0</v>
      </c>
      <c r="E84" s="20">
        <v>1140.0</v>
      </c>
      <c r="F84" s="25">
        <v>47.5</v>
      </c>
      <c r="G84" s="20">
        <v>16.0</v>
      </c>
      <c r="H84" s="20" t="s">
        <v>107</v>
      </c>
      <c r="I84" s="20" t="s">
        <v>30</v>
      </c>
      <c r="J84" s="20">
        <v>14.0</v>
      </c>
      <c r="K84" s="20">
        <f>vlookup(J84,Superbowls!$A$2:$B$115,2,FALSE)</f>
        <v>2022</v>
      </c>
      <c r="L84" s="28" t="s">
        <v>36</v>
      </c>
    </row>
    <row r="85">
      <c r="A85" s="20" t="s">
        <v>31</v>
      </c>
      <c r="B85" s="20" t="s">
        <v>199</v>
      </c>
      <c r="C85" s="20" t="s">
        <v>142</v>
      </c>
      <c r="D85" s="20">
        <v>22.0</v>
      </c>
      <c r="E85" s="20">
        <v>1006.0</v>
      </c>
      <c r="F85" s="25">
        <v>45.7</v>
      </c>
      <c r="G85" s="20">
        <v>8.0</v>
      </c>
      <c r="H85" s="20" t="s">
        <v>131</v>
      </c>
      <c r="I85" s="20" t="s">
        <v>35</v>
      </c>
      <c r="J85" s="20">
        <v>14.0</v>
      </c>
      <c r="K85" s="20">
        <f>vlookup(J85,Superbowls!$A$2:$B$115,2,FALSE)</f>
        <v>2022</v>
      </c>
      <c r="L85" s="28" t="s">
        <v>36</v>
      </c>
    </row>
    <row r="86">
      <c r="A86" s="20" t="s">
        <v>31</v>
      </c>
      <c r="B86" s="20" t="s">
        <v>346</v>
      </c>
      <c r="C86" s="20" t="s">
        <v>347</v>
      </c>
      <c r="D86" s="20">
        <v>22.0</v>
      </c>
      <c r="E86" s="20">
        <v>563.0</v>
      </c>
      <c r="F86" s="25">
        <v>25.5</v>
      </c>
      <c r="G86" s="20">
        <v>7.0</v>
      </c>
      <c r="H86" s="20" t="s">
        <v>131</v>
      </c>
      <c r="I86" s="20" t="s">
        <v>35</v>
      </c>
      <c r="J86" s="20">
        <v>14.0</v>
      </c>
      <c r="K86" s="20">
        <f>vlookup(J86,Superbowls!$A$2:$B$115,2,FALSE)</f>
        <v>2022</v>
      </c>
      <c r="L86" s="28" t="s">
        <v>36</v>
      </c>
    </row>
    <row r="87">
      <c r="A87" s="20" t="s">
        <v>31</v>
      </c>
      <c r="B87" s="20" t="s">
        <v>350</v>
      </c>
      <c r="C87" s="20" t="s">
        <v>351</v>
      </c>
      <c r="D87" s="20">
        <v>23.0</v>
      </c>
      <c r="E87" s="20">
        <v>771.0</v>
      </c>
      <c r="F87" s="25">
        <v>33.5</v>
      </c>
      <c r="G87" s="20">
        <v>11.0</v>
      </c>
      <c r="H87" s="20" t="s">
        <v>70</v>
      </c>
      <c r="I87" s="20" t="s">
        <v>71</v>
      </c>
      <c r="J87" s="20">
        <v>15.0</v>
      </c>
      <c r="K87" s="20">
        <f>vlookup(J87,Superbowls!$A$2:$B$115,2,FALSE)</f>
        <v>2023</v>
      </c>
      <c r="L87" s="28" t="s">
        <v>36</v>
      </c>
    </row>
    <row r="88">
      <c r="A88" s="20" t="s">
        <v>31</v>
      </c>
      <c r="B88" s="20" t="s">
        <v>356</v>
      </c>
      <c r="C88" s="20" t="s">
        <v>135</v>
      </c>
      <c r="D88" s="20">
        <v>30.0</v>
      </c>
      <c r="E88" s="20">
        <v>659.0</v>
      </c>
      <c r="F88" s="25">
        <v>21.9</v>
      </c>
      <c r="G88" s="20">
        <v>7.0</v>
      </c>
      <c r="H88" s="20" t="s">
        <v>70</v>
      </c>
      <c r="I88" s="20" t="s">
        <v>71</v>
      </c>
      <c r="J88" s="20">
        <v>15.0</v>
      </c>
      <c r="K88" s="20">
        <f>vlookup(J88,Superbowls!$A$2:$B$115,2,FALSE)</f>
        <v>2023</v>
      </c>
      <c r="L88" s="28" t="s">
        <v>36</v>
      </c>
    </row>
    <row r="89">
      <c r="A89" s="20" t="s">
        <v>22</v>
      </c>
      <c r="B89" s="20" t="s">
        <v>68</v>
      </c>
      <c r="C89" s="20" t="s">
        <v>69</v>
      </c>
      <c r="D89" s="20">
        <v>19.0</v>
      </c>
      <c r="E89" s="20">
        <v>726.0</v>
      </c>
      <c r="F89" s="25">
        <v>38.2</v>
      </c>
      <c r="G89" s="20">
        <v>9.0</v>
      </c>
      <c r="H89" s="20" t="s">
        <v>70</v>
      </c>
      <c r="I89" s="20" t="s">
        <v>71</v>
      </c>
      <c r="J89" s="20">
        <v>15.0</v>
      </c>
      <c r="K89" s="20">
        <f>vlookup(J89,Superbowls!$A$2:$B$115,2,FALSE)</f>
        <v>2023</v>
      </c>
      <c r="L89" s="28" t="s">
        <v>36</v>
      </c>
    </row>
    <row r="90">
      <c r="A90" s="20" t="s">
        <v>65</v>
      </c>
      <c r="B90" s="20" t="s">
        <v>357</v>
      </c>
      <c r="C90" s="20" t="s">
        <v>109</v>
      </c>
      <c r="D90" s="20">
        <v>21.0</v>
      </c>
      <c r="E90" s="20">
        <v>395.0</v>
      </c>
      <c r="F90" s="25">
        <v>18.8</v>
      </c>
      <c r="G90" s="20">
        <v>1.0</v>
      </c>
      <c r="H90" s="20" t="s">
        <v>70</v>
      </c>
      <c r="I90" s="20" t="s">
        <v>71</v>
      </c>
      <c r="J90" s="20">
        <v>15.0</v>
      </c>
      <c r="K90" s="20">
        <f>vlookup(J90,Superbowls!$A$2:$B$115,2,FALSE)</f>
        <v>2023</v>
      </c>
      <c r="L90" s="28" t="s">
        <v>36</v>
      </c>
    </row>
    <row r="91">
      <c r="A91" s="20" t="s">
        <v>31</v>
      </c>
      <c r="B91" s="20" t="s">
        <v>178</v>
      </c>
      <c r="C91" s="20" t="s">
        <v>358</v>
      </c>
      <c r="D91" s="20">
        <v>34.0</v>
      </c>
      <c r="E91" s="20">
        <v>740.0</v>
      </c>
      <c r="F91" s="25">
        <v>21.7</v>
      </c>
      <c r="G91" s="20">
        <v>3.0</v>
      </c>
      <c r="H91" s="20" t="s">
        <v>47</v>
      </c>
      <c r="I91" s="20" t="s">
        <v>42</v>
      </c>
      <c r="J91" s="20">
        <v>15.0</v>
      </c>
      <c r="K91" s="20">
        <f>vlookup(J91,Superbowls!$A$2:$B$115,2,FALSE)</f>
        <v>2023</v>
      </c>
      <c r="L91" s="28" t="s">
        <v>36</v>
      </c>
    </row>
    <row r="92">
      <c r="A92" s="20" t="s">
        <v>31</v>
      </c>
      <c r="B92" s="20" t="s">
        <v>363</v>
      </c>
      <c r="C92" s="20" t="s">
        <v>364</v>
      </c>
      <c r="D92" s="20">
        <v>27.0</v>
      </c>
      <c r="E92" s="20">
        <v>652.0</v>
      </c>
      <c r="F92" s="25">
        <v>24.1</v>
      </c>
      <c r="G92" s="20">
        <v>8.0</v>
      </c>
      <c r="H92" s="20" t="s">
        <v>47</v>
      </c>
      <c r="I92" s="20" t="s">
        <v>42</v>
      </c>
      <c r="J92" s="20">
        <v>15.0</v>
      </c>
      <c r="K92" s="20">
        <f>vlookup(J92,Superbowls!$A$2:$B$115,2,FALSE)</f>
        <v>2023</v>
      </c>
      <c r="L92" s="28" t="s">
        <v>36</v>
      </c>
    </row>
    <row r="93">
      <c r="A93" s="20" t="s">
        <v>31</v>
      </c>
      <c r="B93" s="20" t="s">
        <v>367</v>
      </c>
      <c r="C93" s="20" t="s">
        <v>294</v>
      </c>
      <c r="D93" s="20">
        <v>31.0</v>
      </c>
      <c r="E93" s="20">
        <v>913.0</v>
      </c>
      <c r="F93" s="25">
        <v>29.4</v>
      </c>
      <c r="G93" s="20">
        <v>6.0</v>
      </c>
      <c r="H93" s="20" t="s">
        <v>112</v>
      </c>
      <c r="I93" s="20" t="s">
        <v>35</v>
      </c>
      <c r="J93" s="20">
        <v>15.0</v>
      </c>
      <c r="K93" s="20">
        <f>vlookup(J93,Superbowls!$A$2:$B$115,2,FALSE)</f>
        <v>2023</v>
      </c>
      <c r="L93" s="28" t="s">
        <v>36</v>
      </c>
    </row>
    <row r="94">
      <c r="A94" s="20" t="s">
        <v>31</v>
      </c>
      <c r="B94" s="20" t="s">
        <v>293</v>
      </c>
      <c r="C94" s="20" t="s">
        <v>353</v>
      </c>
      <c r="D94" s="20">
        <v>33.0</v>
      </c>
      <c r="E94" s="20">
        <v>1042.0</v>
      </c>
      <c r="F94" s="25">
        <v>31.5</v>
      </c>
      <c r="G94" s="20">
        <v>15.0</v>
      </c>
      <c r="H94" s="20" t="s">
        <v>112</v>
      </c>
      <c r="I94" s="20" t="s">
        <v>35</v>
      </c>
      <c r="J94" s="20">
        <v>15.0</v>
      </c>
      <c r="K94" s="20">
        <f>vlookup(J94,Superbowls!$A$2:$B$115,2,FALSE)</f>
        <v>2023</v>
      </c>
      <c r="L94" s="28" t="s">
        <v>36</v>
      </c>
    </row>
    <row r="95">
      <c r="A95" s="20" t="s">
        <v>22</v>
      </c>
      <c r="B95" s="20" t="s">
        <v>368</v>
      </c>
      <c r="C95" s="20" t="s">
        <v>370</v>
      </c>
      <c r="D95" s="20">
        <v>17.0</v>
      </c>
      <c r="E95" s="20">
        <v>477.0</v>
      </c>
      <c r="F95" s="25">
        <v>28.0</v>
      </c>
      <c r="G95" s="20">
        <v>2.0</v>
      </c>
      <c r="H95" s="20" t="s">
        <v>112</v>
      </c>
      <c r="I95" s="20" t="s">
        <v>35</v>
      </c>
      <c r="J95" s="20">
        <v>15.0</v>
      </c>
      <c r="K95" s="20">
        <f>vlookup(J95,Superbowls!$A$2:$B$115,2,FALSE)</f>
        <v>2023</v>
      </c>
      <c r="L95" s="28" t="s">
        <v>36</v>
      </c>
    </row>
    <row r="96">
      <c r="A96" s="20" t="s">
        <v>22</v>
      </c>
      <c r="B96" s="20" t="s">
        <v>108</v>
      </c>
      <c r="C96" s="20" t="s">
        <v>109</v>
      </c>
      <c r="D96" s="20">
        <v>28.0</v>
      </c>
      <c r="E96" s="20">
        <v>329.0</v>
      </c>
      <c r="F96" s="25">
        <v>11.7</v>
      </c>
      <c r="G96" s="20">
        <v>7.0</v>
      </c>
      <c r="H96" s="20" t="s">
        <v>112</v>
      </c>
      <c r="I96" s="20" t="s">
        <v>35</v>
      </c>
      <c r="J96" s="20">
        <v>15.0</v>
      </c>
      <c r="K96" s="20">
        <f>vlookup(J96,Superbowls!$A$2:$B$115,2,FALSE)</f>
        <v>2023</v>
      </c>
      <c r="L96" s="28" t="s">
        <v>36</v>
      </c>
    </row>
    <row r="97">
      <c r="A97" s="20" t="s">
        <v>31</v>
      </c>
      <c r="B97" s="20" t="s">
        <v>376</v>
      </c>
      <c r="C97" s="20" t="s">
        <v>377</v>
      </c>
      <c r="D97" s="20">
        <v>14.0</v>
      </c>
      <c r="E97" s="20">
        <v>500.0</v>
      </c>
      <c r="F97" s="25">
        <v>35.7</v>
      </c>
      <c r="G97" s="20">
        <v>7.0</v>
      </c>
      <c r="H97" s="20" t="s">
        <v>161</v>
      </c>
      <c r="I97" s="20" t="s">
        <v>30</v>
      </c>
      <c r="J97" s="20">
        <v>15.0</v>
      </c>
      <c r="K97" s="20">
        <f>vlookup(J97,Superbowls!$A$2:$B$115,2,FALSE)</f>
        <v>2023</v>
      </c>
      <c r="L97" s="28" t="s">
        <v>36</v>
      </c>
    </row>
    <row r="98">
      <c r="A98" s="20" t="s">
        <v>65</v>
      </c>
      <c r="B98" s="20" t="s">
        <v>344</v>
      </c>
      <c r="C98" s="20" t="s">
        <v>217</v>
      </c>
      <c r="D98" s="20">
        <v>16.0</v>
      </c>
      <c r="E98" s="20">
        <v>312.0</v>
      </c>
      <c r="F98" s="25">
        <v>19.5</v>
      </c>
      <c r="G98" s="20">
        <v>1.0</v>
      </c>
      <c r="H98" s="20" t="s">
        <v>161</v>
      </c>
      <c r="I98" s="20" t="s">
        <v>30</v>
      </c>
      <c r="J98" s="20">
        <v>15.0</v>
      </c>
      <c r="K98" s="20">
        <f>vlookup(J98,Superbowls!$A$2:$B$115,2,FALSE)</f>
        <v>2023</v>
      </c>
      <c r="L98" s="28" t="s">
        <v>36</v>
      </c>
    </row>
    <row r="99">
      <c r="A99" s="20" t="s">
        <v>22</v>
      </c>
      <c r="B99" s="20" t="s">
        <v>165</v>
      </c>
      <c r="C99" s="20" t="s">
        <v>96</v>
      </c>
      <c r="D99" s="20">
        <v>13.0</v>
      </c>
      <c r="E99" s="20">
        <v>125.0</v>
      </c>
      <c r="F99" s="25">
        <v>9.6</v>
      </c>
      <c r="G99" s="20">
        <v>2.0</v>
      </c>
      <c r="H99" s="20" t="s">
        <v>81</v>
      </c>
      <c r="I99" s="20" t="s">
        <v>30</v>
      </c>
      <c r="J99" s="20">
        <v>16.0</v>
      </c>
      <c r="K99" s="20">
        <v>2024.0</v>
      </c>
      <c r="L99" s="28" t="s">
        <v>36</v>
      </c>
    </row>
    <row r="100">
      <c r="A100" s="20" t="s">
        <v>31</v>
      </c>
      <c r="B100" s="20" t="s">
        <v>192</v>
      </c>
      <c r="C100" s="20" t="s">
        <v>194</v>
      </c>
      <c r="D100" s="20">
        <v>12.0</v>
      </c>
      <c r="E100" s="20">
        <v>416.0</v>
      </c>
      <c r="F100" s="25">
        <v>34.6</v>
      </c>
      <c r="G100" s="20">
        <v>3.0</v>
      </c>
      <c r="H100" s="20" t="s">
        <v>81</v>
      </c>
      <c r="I100" s="20" t="s">
        <v>30</v>
      </c>
      <c r="J100" s="20">
        <v>16.0</v>
      </c>
      <c r="K100" s="20">
        <v>2024.0</v>
      </c>
      <c r="L100" s="28" t="s">
        <v>36</v>
      </c>
    </row>
    <row r="101">
      <c r="A101" s="20" t="s">
        <v>31</v>
      </c>
      <c r="B101" s="20" t="s">
        <v>348</v>
      </c>
      <c r="C101" s="20" t="s">
        <v>109</v>
      </c>
      <c r="D101" s="20">
        <v>14.0</v>
      </c>
      <c r="E101" s="20">
        <v>456.0</v>
      </c>
      <c r="F101" s="25">
        <v>32.5</v>
      </c>
      <c r="G101" s="20">
        <v>7.0</v>
      </c>
      <c r="H101" s="20" t="s">
        <v>81</v>
      </c>
      <c r="I101" s="20" t="s">
        <v>30</v>
      </c>
      <c r="J101" s="20">
        <v>16.0</v>
      </c>
      <c r="K101" s="20">
        <v>2024.0</v>
      </c>
      <c r="L101" s="28" t="s">
        <v>36</v>
      </c>
    </row>
    <row r="102">
      <c r="A102" s="20" t="s">
        <v>31</v>
      </c>
      <c r="B102" s="20" t="s">
        <v>141</v>
      </c>
      <c r="C102" s="20" t="s">
        <v>142</v>
      </c>
      <c r="D102" s="20">
        <v>32.0</v>
      </c>
      <c r="E102" s="20">
        <v>1174.0</v>
      </c>
      <c r="F102" s="25">
        <v>36.6</v>
      </c>
      <c r="G102" s="20">
        <v>12.0</v>
      </c>
      <c r="H102" s="20" t="s">
        <v>81</v>
      </c>
      <c r="I102" s="20" t="s">
        <v>30</v>
      </c>
      <c r="J102" s="20">
        <v>16.0</v>
      </c>
      <c r="K102" s="20">
        <v>2024.0</v>
      </c>
      <c r="L102" s="28" t="s">
        <v>36</v>
      </c>
    </row>
    <row r="103">
      <c r="A103" s="20" t="s">
        <v>65</v>
      </c>
      <c r="B103" s="20" t="s">
        <v>239</v>
      </c>
      <c r="C103" s="20" t="s">
        <v>110</v>
      </c>
      <c r="D103" s="20">
        <v>18.0</v>
      </c>
      <c r="E103" s="20">
        <v>348.0</v>
      </c>
      <c r="F103" s="25">
        <v>19.3</v>
      </c>
      <c r="G103" s="20">
        <v>1.0</v>
      </c>
      <c r="H103" s="20" t="s">
        <v>81</v>
      </c>
      <c r="I103" s="20" t="s">
        <v>30</v>
      </c>
      <c r="J103" s="20">
        <v>16.0</v>
      </c>
      <c r="K103" s="20">
        <v>2024.0</v>
      </c>
      <c r="L103" s="28" t="s">
        <v>36</v>
      </c>
    </row>
    <row r="104">
      <c r="A104" s="20" t="s">
        <v>22</v>
      </c>
      <c r="B104" s="20" t="s">
        <v>166</v>
      </c>
      <c r="C104" s="20" t="s">
        <v>167</v>
      </c>
      <c r="D104" s="20">
        <v>21.0</v>
      </c>
      <c r="E104" s="20">
        <v>429.0</v>
      </c>
      <c r="F104" s="25">
        <v>20.4</v>
      </c>
      <c r="G104" s="20">
        <v>9.0</v>
      </c>
      <c r="H104" s="20" t="s">
        <v>102</v>
      </c>
      <c r="I104" s="20" t="s">
        <v>63</v>
      </c>
      <c r="J104" s="20">
        <v>16.0</v>
      </c>
      <c r="K104" s="20">
        <v>2024.0</v>
      </c>
      <c r="L104" s="28" t="s">
        <v>36</v>
      </c>
    </row>
    <row r="105">
      <c r="A105" s="20" t="s">
        <v>31</v>
      </c>
      <c r="B105" s="20" t="s">
        <v>171</v>
      </c>
      <c r="C105" s="20" t="s">
        <v>173</v>
      </c>
      <c r="D105" s="20">
        <v>38.0</v>
      </c>
      <c r="E105" s="20">
        <v>1417.0</v>
      </c>
      <c r="F105" s="25">
        <v>37.2</v>
      </c>
      <c r="G105" s="20">
        <v>12.0</v>
      </c>
      <c r="H105" s="20" t="s">
        <v>102</v>
      </c>
      <c r="I105" s="20" t="s">
        <v>63</v>
      </c>
      <c r="J105" s="20">
        <v>16.0</v>
      </c>
      <c r="K105" s="20">
        <v>2024.0</v>
      </c>
      <c r="L105" s="28" t="s">
        <v>36</v>
      </c>
    </row>
    <row r="106">
      <c r="A106" s="20" t="s">
        <v>31</v>
      </c>
      <c r="B106" s="20" t="s">
        <v>411</v>
      </c>
      <c r="C106" s="20" t="s">
        <v>412</v>
      </c>
      <c r="D106" s="20">
        <v>24.0</v>
      </c>
      <c r="E106" s="20">
        <v>483.0</v>
      </c>
      <c r="F106" s="25">
        <v>20.1</v>
      </c>
      <c r="G106" s="20">
        <v>2.0</v>
      </c>
      <c r="H106" s="20" t="s">
        <v>102</v>
      </c>
      <c r="I106" s="20" t="s">
        <v>63</v>
      </c>
      <c r="J106" s="20">
        <v>16.0</v>
      </c>
      <c r="K106" s="20">
        <v>2024.0</v>
      </c>
      <c r="L106" s="28" t="s">
        <v>36</v>
      </c>
    </row>
    <row r="107">
      <c r="A107" s="20" t="s">
        <v>65</v>
      </c>
      <c r="B107" s="20" t="s">
        <v>163</v>
      </c>
      <c r="C107" s="20" t="s">
        <v>164</v>
      </c>
      <c r="D107" s="20">
        <v>25.0</v>
      </c>
      <c r="E107" s="20">
        <v>731.0</v>
      </c>
      <c r="F107" s="25">
        <v>29.2</v>
      </c>
      <c r="G107" s="20">
        <v>6.0</v>
      </c>
      <c r="H107" s="20" t="s">
        <v>102</v>
      </c>
      <c r="I107" s="20" t="s">
        <v>63</v>
      </c>
      <c r="J107" s="20">
        <v>16.0</v>
      </c>
      <c r="K107" s="20">
        <v>2024.0</v>
      </c>
      <c r="L107" s="28" t="s">
        <v>36</v>
      </c>
    </row>
    <row r="108">
      <c r="A108" s="20" t="s">
        <v>22</v>
      </c>
      <c r="B108" s="20" t="s">
        <v>96</v>
      </c>
      <c r="C108" s="20" t="s">
        <v>98</v>
      </c>
      <c r="D108" s="20">
        <v>18.0</v>
      </c>
      <c r="E108" s="20">
        <v>261.0</v>
      </c>
      <c r="F108" s="25">
        <v>14.5</v>
      </c>
      <c r="G108" s="20">
        <v>3.0</v>
      </c>
      <c r="H108" s="20" t="s">
        <v>101</v>
      </c>
      <c r="I108" s="20" t="s">
        <v>35</v>
      </c>
      <c r="J108" s="20">
        <v>16.0</v>
      </c>
      <c r="K108" s="20">
        <v>2024.0</v>
      </c>
      <c r="L108" s="28" t="s">
        <v>36</v>
      </c>
    </row>
    <row r="109">
      <c r="A109" s="20" t="s">
        <v>31</v>
      </c>
      <c r="B109" s="20" t="s">
        <v>229</v>
      </c>
      <c r="C109" s="20" t="s">
        <v>230</v>
      </c>
      <c r="D109" s="20">
        <v>24.0</v>
      </c>
      <c r="E109" s="20">
        <v>705.0</v>
      </c>
      <c r="F109" s="25">
        <v>29.3</v>
      </c>
      <c r="G109" s="20">
        <v>5.0</v>
      </c>
      <c r="H109" s="20" t="s">
        <v>101</v>
      </c>
      <c r="I109" s="20" t="s">
        <v>35</v>
      </c>
      <c r="J109" s="20">
        <v>16.0</v>
      </c>
      <c r="K109" s="20">
        <v>2024.0</v>
      </c>
      <c r="L109" s="28" t="s">
        <v>36</v>
      </c>
    </row>
    <row r="110">
      <c r="A110" s="20" t="s">
        <v>31</v>
      </c>
      <c r="B110" s="20" t="s">
        <v>234</v>
      </c>
      <c r="C110" s="20" t="s">
        <v>248</v>
      </c>
      <c r="D110" s="20">
        <v>35.0</v>
      </c>
      <c r="E110" s="20">
        <v>1257.0</v>
      </c>
      <c r="F110" s="25">
        <v>35.9</v>
      </c>
      <c r="G110" s="20">
        <v>12.0</v>
      </c>
      <c r="H110" s="20" t="s">
        <v>101</v>
      </c>
      <c r="I110" s="20" t="s">
        <v>35</v>
      </c>
      <c r="J110" s="20">
        <v>16.0</v>
      </c>
      <c r="K110" s="20">
        <v>2024.0</v>
      </c>
      <c r="L110" s="28" t="s">
        <v>36</v>
      </c>
    </row>
    <row r="111">
      <c r="A111" s="20" t="s">
        <v>65</v>
      </c>
      <c r="B111" s="20" t="s">
        <v>421</v>
      </c>
      <c r="C111" s="20" t="s">
        <v>33</v>
      </c>
      <c r="D111" s="20">
        <v>50.0</v>
      </c>
      <c r="E111" s="20">
        <v>742.0</v>
      </c>
      <c r="F111" s="25">
        <v>14.8</v>
      </c>
      <c r="G111" s="20">
        <v>10.0</v>
      </c>
      <c r="H111" s="20" t="s">
        <v>101</v>
      </c>
      <c r="I111" s="20" t="s">
        <v>35</v>
      </c>
      <c r="J111" s="20">
        <v>16.0</v>
      </c>
      <c r="K111" s="20">
        <v>2024.0</v>
      </c>
      <c r="L111" s="28" t="s">
        <v>36</v>
      </c>
    </row>
    <row r="112">
      <c r="A112" s="20" t="s">
        <v>22</v>
      </c>
      <c r="B112" s="20" t="s">
        <v>153</v>
      </c>
      <c r="C112" s="20" t="s">
        <v>177</v>
      </c>
      <c r="D112" s="20">
        <v>31.0</v>
      </c>
      <c r="E112" s="20">
        <v>1014.0</v>
      </c>
      <c r="F112" s="25">
        <v>32.7</v>
      </c>
      <c r="G112" s="20">
        <v>11.0</v>
      </c>
      <c r="H112" s="20" t="s">
        <v>89</v>
      </c>
      <c r="I112" s="20" t="s">
        <v>175</v>
      </c>
      <c r="J112" s="20">
        <v>16.0</v>
      </c>
      <c r="K112" s="20">
        <v>2024.0</v>
      </c>
      <c r="L112" s="28" t="s">
        <v>36</v>
      </c>
    </row>
    <row r="113">
      <c r="A113" s="20" t="s">
        <v>31</v>
      </c>
      <c r="B113" s="20" t="s">
        <v>148</v>
      </c>
      <c r="C113" s="20" t="s">
        <v>33</v>
      </c>
      <c r="D113" s="20">
        <v>41.0</v>
      </c>
      <c r="E113" s="20">
        <v>1566.0</v>
      </c>
      <c r="F113" s="25">
        <v>38.1</v>
      </c>
      <c r="G113" s="20">
        <v>14.0</v>
      </c>
      <c r="H113" s="20" t="s">
        <v>89</v>
      </c>
      <c r="I113" s="20" t="s">
        <v>175</v>
      </c>
      <c r="J113" s="20">
        <v>16.0</v>
      </c>
      <c r="K113" s="20">
        <v>2024.0</v>
      </c>
      <c r="L113" s="28" t="s">
        <v>36</v>
      </c>
    </row>
    <row r="114">
      <c r="A114" s="20" t="s">
        <v>31</v>
      </c>
      <c r="B114" s="20" t="s">
        <v>149</v>
      </c>
      <c r="C114" s="20" t="s">
        <v>150</v>
      </c>
      <c r="D114" s="20">
        <v>20.0</v>
      </c>
      <c r="E114" s="20">
        <v>492.0</v>
      </c>
      <c r="F114" s="25">
        <v>24.6</v>
      </c>
      <c r="G114" s="20">
        <v>3.0</v>
      </c>
      <c r="H114" s="20" t="s">
        <v>89</v>
      </c>
      <c r="I114" s="20" t="s">
        <v>175</v>
      </c>
      <c r="J114" s="20">
        <v>16.0</v>
      </c>
      <c r="K114" s="20">
        <v>2024.0</v>
      </c>
      <c r="L114" s="28" t="s">
        <v>36</v>
      </c>
    </row>
    <row r="115">
      <c r="A115" s="20" t="s">
        <v>65</v>
      </c>
      <c r="B115" s="20" t="s">
        <v>241</v>
      </c>
      <c r="C115" s="20" t="s">
        <v>33</v>
      </c>
      <c r="D115" s="20">
        <v>11.0</v>
      </c>
      <c r="E115" s="20">
        <v>258.0</v>
      </c>
      <c r="F115" s="25">
        <v>23.4</v>
      </c>
      <c r="G115" s="20">
        <v>2.0</v>
      </c>
      <c r="H115" s="20" t="s">
        <v>89</v>
      </c>
      <c r="I115" s="20" t="s">
        <v>175</v>
      </c>
      <c r="J115" s="20">
        <v>16.0</v>
      </c>
      <c r="K115" s="20">
        <v>2024.0</v>
      </c>
      <c r="L115" s="28" t="s">
        <v>36</v>
      </c>
    </row>
    <row r="116">
      <c r="A116" s="20" t="s">
        <v>31</v>
      </c>
      <c r="B116" s="20" t="s">
        <v>344</v>
      </c>
      <c r="C116" s="20" t="s">
        <v>345</v>
      </c>
      <c r="D116" s="20">
        <v>21.0</v>
      </c>
      <c r="E116" s="20">
        <v>738.0</v>
      </c>
      <c r="F116" s="25">
        <v>35.1</v>
      </c>
      <c r="G116" s="20">
        <v>14.0</v>
      </c>
      <c r="H116" s="20" t="s">
        <v>145</v>
      </c>
      <c r="I116" s="20" t="s">
        <v>42</v>
      </c>
      <c r="J116" s="20">
        <v>16.0</v>
      </c>
      <c r="K116" s="20">
        <v>2024.0</v>
      </c>
      <c r="L116" s="28" t="s">
        <v>36</v>
      </c>
    </row>
    <row r="117">
      <c r="A117" s="20" t="s">
        <v>31</v>
      </c>
      <c r="B117" s="20" t="s">
        <v>231</v>
      </c>
      <c r="C117" s="20" t="s">
        <v>232</v>
      </c>
      <c r="D117" s="20">
        <v>17.0</v>
      </c>
      <c r="E117" s="20">
        <v>333.0</v>
      </c>
      <c r="F117" s="25">
        <v>19.5</v>
      </c>
      <c r="G117" s="20">
        <v>2.0</v>
      </c>
      <c r="H117" s="20" t="s">
        <v>145</v>
      </c>
      <c r="I117" s="20" t="s">
        <v>42</v>
      </c>
      <c r="J117" s="20">
        <v>16.0</v>
      </c>
      <c r="K117" s="20">
        <v>2024.0</v>
      </c>
      <c r="L117" s="28" t="s">
        <v>36</v>
      </c>
    </row>
    <row r="118">
      <c r="A118" s="20" t="s">
        <v>22</v>
      </c>
      <c r="B118" s="20" t="s">
        <v>37</v>
      </c>
      <c r="C118" s="20" t="s">
        <v>305</v>
      </c>
      <c r="D118" s="20">
        <v>36.0</v>
      </c>
      <c r="E118" s="20">
        <v>348.0</v>
      </c>
      <c r="F118" s="25">
        <v>9.6</v>
      </c>
      <c r="G118" s="20">
        <v>7.0</v>
      </c>
      <c r="H118" s="20" t="s">
        <v>29</v>
      </c>
      <c r="I118" s="20" t="s">
        <v>35</v>
      </c>
      <c r="J118" s="20">
        <v>17.0</v>
      </c>
      <c r="K118" s="20">
        <v>2025.0</v>
      </c>
      <c r="L118" s="28" t="s">
        <v>36</v>
      </c>
    </row>
    <row r="119">
      <c r="A119" s="20" t="s">
        <v>31</v>
      </c>
      <c r="B119" s="20" t="s">
        <v>50</v>
      </c>
      <c r="C119" s="20" t="s">
        <v>51</v>
      </c>
      <c r="D119" s="20">
        <v>23.0</v>
      </c>
      <c r="E119" s="20">
        <v>902.0</v>
      </c>
      <c r="F119" s="25">
        <v>39.2</v>
      </c>
      <c r="G119" s="20">
        <v>7.0</v>
      </c>
      <c r="H119" s="20" t="s">
        <v>29</v>
      </c>
      <c r="I119" s="20" t="s">
        <v>35</v>
      </c>
      <c r="J119" s="20">
        <v>17.0</v>
      </c>
      <c r="K119" s="20">
        <v>2025.0</v>
      </c>
      <c r="L119" s="28" t="s">
        <v>36</v>
      </c>
    </row>
    <row r="120">
      <c r="A120" s="20" t="s">
        <v>31</v>
      </c>
      <c r="B120" s="20" t="s">
        <v>249</v>
      </c>
      <c r="C120" s="20" t="s">
        <v>33</v>
      </c>
      <c r="D120" s="20">
        <v>56.0</v>
      </c>
      <c r="E120" s="20">
        <v>1494.0</v>
      </c>
      <c r="F120" s="25">
        <v>26.6</v>
      </c>
      <c r="G120" s="20">
        <v>15.0</v>
      </c>
      <c r="H120" s="20" t="s">
        <v>29</v>
      </c>
      <c r="I120" s="20" t="s">
        <v>35</v>
      </c>
      <c r="J120" s="20">
        <v>17.0</v>
      </c>
      <c r="K120" s="20">
        <v>2025.0</v>
      </c>
      <c r="L120" s="28" t="s">
        <v>36</v>
      </c>
    </row>
    <row r="121">
      <c r="A121" s="20" t="s">
        <v>31</v>
      </c>
      <c r="B121" s="20" t="s">
        <v>32</v>
      </c>
      <c r="C121" s="20" t="s">
        <v>33</v>
      </c>
      <c r="D121" s="20">
        <v>34.0</v>
      </c>
      <c r="E121" s="20">
        <v>1145.0</v>
      </c>
      <c r="F121" s="25">
        <v>33.6</v>
      </c>
      <c r="G121" s="20">
        <v>17.0</v>
      </c>
      <c r="H121" s="20" t="s">
        <v>29</v>
      </c>
      <c r="I121" s="20" t="s">
        <v>35</v>
      </c>
      <c r="J121" s="20">
        <v>17.0</v>
      </c>
      <c r="K121" s="20">
        <v>2025.0</v>
      </c>
      <c r="L121" s="28" t="s">
        <v>36</v>
      </c>
    </row>
    <row r="122">
      <c r="A122" s="20" t="s">
        <v>65</v>
      </c>
      <c r="B122" s="20" t="s">
        <v>66</v>
      </c>
      <c r="C122" s="20" t="s">
        <v>67</v>
      </c>
      <c r="D122" s="20">
        <v>68.0</v>
      </c>
      <c r="E122" s="20">
        <v>1240.0</v>
      </c>
      <c r="F122" s="25">
        <v>18.2</v>
      </c>
      <c r="G122" s="20">
        <v>19.0</v>
      </c>
      <c r="H122" s="20" t="s">
        <v>29</v>
      </c>
      <c r="I122" s="20" t="s">
        <v>35</v>
      </c>
      <c r="J122" s="20">
        <v>17.0</v>
      </c>
      <c r="K122" s="20">
        <v>2025.0</v>
      </c>
      <c r="L122" s="28" t="s">
        <v>36</v>
      </c>
    </row>
    <row r="123">
      <c r="A123" s="20" t="s">
        <v>22</v>
      </c>
      <c r="B123" s="20" t="s">
        <v>96</v>
      </c>
      <c r="C123" s="20" t="s">
        <v>165</v>
      </c>
      <c r="D123" s="20">
        <v>37.0</v>
      </c>
      <c r="E123" s="20">
        <v>446.0</v>
      </c>
      <c r="F123" s="25">
        <v>12.0</v>
      </c>
      <c r="G123" s="20">
        <v>6.0</v>
      </c>
      <c r="H123" s="20" t="s">
        <v>81</v>
      </c>
      <c r="I123" s="20" t="s">
        <v>187</v>
      </c>
      <c r="J123" s="20">
        <v>17.0</v>
      </c>
      <c r="K123" s="20">
        <v>2025.0</v>
      </c>
      <c r="L123" s="28" t="s">
        <v>36</v>
      </c>
    </row>
    <row r="124">
      <c r="A124" s="20" t="s">
        <v>22</v>
      </c>
      <c r="B124" s="20" t="s">
        <v>192</v>
      </c>
      <c r="C124" s="20" t="s">
        <v>194</v>
      </c>
      <c r="D124" s="20">
        <v>9.0</v>
      </c>
      <c r="E124" s="20">
        <v>290.0</v>
      </c>
      <c r="F124" s="25">
        <v>32.2</v>
      </c>
      <c r="G124" s="20">
        <v>2.0</v>
      </c>
      <c r="H124" s="20" t="s">
        <v>81</v>
      </c>
      <c r="I124" s="20" t="s">
        <v>187</v>
      </c>
      <c r="J124" s="20">
        <v>17.0</v>
      </c>
      <c r="K124" s="20">
        <v>2025.0</v>
      </c>
      <c r="L124" s="28" t="s">
        <v>36</v>
      </c>
    </row>
    <row r="125">
      <c r="A125" s="20" t="s">
        <v>31</v>
      </c>
      <c r="B125" s="20" t="s">
        <v>348</v>
      </c>
      <c r="C125" s="20" t="s">
        <v>109</v>
      </c>
      <c r="D125" s="20">
        <v>22.0</v>
      </c>
      <c r="E125" s="20">
        <v>770.0</v>
      </c>
      <c r="F125" s="25">
        <v>35.0</v>
      </c>
      <c r="G125" s="20">
        <v>7.0</v>
      </c>
      <c r="H125" s="20" t="s">
        <v>81</v>
      </c>
      <c r="I125" s="20" t="s">
        <v>187</v>
      </c>
      <c r="J125" s="20">
        <v>17.0</v>
      </c>
      <c r="K125" s="20">
        <v>2025.0</v>
      </c>
      <c r="L125" s="28" t="s">
        <v>36</v>
      </c>
    </row>
    <row r="126">
      <c r="A126" s="20" t="s">
        <v>31</v>
      </c>
      <c r="B126" s="20" t="s">
        <v>141</v>
      </c>
      <c r="C126" s="20" t="s">
        <v>142</v>
      </c>
      <c r="D126" s="20">
        <v>47.0</v>
      </c>
      <c r="E126" s="20">
        <v>2132.0</v>
      </c>
      <c r="F126" s="25">
        <v>45.3</v>
      </c>
      <c r="G126" s="20">
        <v>19.0</v>
      </c>
      <c r="H126" s="20" t="s">
        <v>81</v>
      </c>
      <c r="I126" s="20" t="s">
        <v>187</v>
      </c>
      <c r="J126" s="20">
        <v>17.0</v>
      </c>
      <c r="K126" s="20">
        <v>2025.0</v>
      </c>
      <c r="L126" s="28" t="s">
        <v>36</v>
      </c>
    </row>
    <row r="127">
      <c r="A127" s="20" t="s">
        <v>31</v>
      </c>
      <c r="B127" s="20" t="s">
        <v>195</v>
      </c>
      <c r="C127" s="20" t="s">
        <v>196</v>
      </c>
      <c r="D127" s="20">
        <v>20.0</v>
      </c>
      <c r="E127" s="20">
        <v>355.0</v>
      </c>
      <c r="F127" s="25">
        <v>17.7</v>
      </c>
      <c r="G127" s="20">
        <v>6.0</v>
      </c>
      <c r="H127" s="20" t="s">
        <v>81</v>
      </c>
      <c r="I127" s="20" t="s">
        <v>187</v>
      </c>
      <c r="J127" s="20">
        <v>17.0</v>
      </c>
      <c r="K127" s="20">
        <v>2025.0</v>
      </c>
      <c r="L127" s="28" t="s">
        <v>36</v>
      </c>
    </row>
    <row r="128">
      <c r="A128" s="20" t="s">
        <v>65</v>
      </c>
      <c r="B128" s="20" t="s">
        <v>449</v>
      </c>
      <c r="C128" s="20" t="s">
        <v>110</v>
      </c>
      <c r="D128" s="20">
        <v>46.0</v>
      </c>
      <c r="E128" s="20">
        <v>650.0</v>
      </c>
      <c r="F128" s="25">
        <v>14.1</v>
      </c>
      <c r="G128" s="20">
        <v>4.0</v>
      </c>
      <c r="H128" s="20" t="s">
        <v>81</v>
      </c>
      <c r="I128" s="20" t="s">
        <v>187</v>
      </c>
      <c r="J128" s="20">
        <v>17.0</v>
      </c>
      <c r="K128" s="20">
        <v>2025.0</v>
      </c>
      <c r="L128" s="28" t="s">
        <v>36</v>
      </c>
    </row>
    <row r="129">
      <c r="A129" s="20" t="s">
        <v>22</v>
      </c>
      <c r="B129" s="20" t="s">
        <v>82</v>
      </c>
      <c r="C129" s="20" t="s">
        <v>200</v>
      </c>
      <c r="D129" s="20">
        <v>17.0</v>
      </c>
      <c r="E129" s="20">
        <v>242.0</v>
      </c>
      <c r="F129" s="25">
        <v>14.2</v>
      </c>
      <c r="G129" s="20">
        <v>3.0</v>
      </c>
      <c r="H129" s="20" t="s">
        <v>60</v>
      </c>
      <c r="I129" s="20" t="s">
        <v>35</v>
      </c>
      <c r="J129" s="20">
        <v>18.0</v>
      </c>
      <c r="K129" s="20">
        <v>2025.0</v>
      </c>
      <c r="L129" s="28" t="s">
        <v>36</v>
      </c>
    </row>
    <row r="130">
      <c r="A130" s="20" t="s">
        <v>22</v>
      </c>
      <c r="B130" s="20" t="s">
        <v>201</v>
      </c>
      <c r="C130" s="20" t="s">
        <v>202</v>
      </c>
      <c r="D130" s="20">
        <v>11.0</v>
      </c>
      <c r="E130" s="20">
        <v>467.0</v>
      </c>
      <c r="F130" s="25">
        <v>42.4</v>
      </c>
      <c r="G130" s="20">
        <v>4.0</v>
      </c>
      <c r="H130" s="20" t="s">
        <v>60</v>
      </c>
      <c r="I130" s="20" t="s">
        <v>35</v>
      </c>
      <c r="J130" s="20">
        <v>18.0</v>
      </c>
      <c r="K130" s="20">
        <v>2025.0</v>
      </c>
      <c r="L130" s="28" t="s">
        <v>36</v>
      </c>
    </row>
    <row r="131">
      <c r="A131" s="20" t="s">
        <v>22</v>
      </c>
      <c r="B131" s="20" t="s">
        <v>344</v>
      </c>
      <c r="C131" s="20" t="s">
        <v>361</v>
      </c>
      <c r="D131" s="20">
        <v>1.0</v>
      </c>
      <c r="E131" s="20">
        <v>39.0</v>
      </c>
      <c r="F131" s="25">
        <v>39.0</v>
      </c>
      <c r="G131" s="20">
        <v>0.0</v>
      </c>
      <c r="H131" s="20" t="s">
        <v>60</v>
      </c>
      <c r="I131" s="20" t="s">
        <v>35</v>
      </c>
      <c r="J131" s="20">
        <v>18.0</v>
      </c>
      <c r="K131" s="20">
        <v>2025.0</v>
      </c>
      <c r="L131" s="28" t="s">
        <v>36</v>
      </c>
    </row>
    <row r="132">
      <c r="A132" s="20" t="s">
        <v>31</v>
      </c>
      <c r="B132" s="20" t="s">
        <v>103</v>
      </c>
      <c r="C132" s="20" t="s">
        <v>104</v>
      </c>
      <c r="D132" s="20">
        <v>42.0</v>
      </c>
      <c r="E132" s="20">
        <v>1046.0</v>
      </c>
      <c r="F132" s="25">
        <v>24.9</v>
      </c>
      <c r="G132" s="20">
        <v>9.0</v>
      </c>
      <c r="H132" s="20" t="s">
        <v>60</v>
      </c>
      <c r="I132" s="20" t="s">
        <v>35</v>
      </c>
      <c r="J132" s="20">
        <v>18.0</v>
      </c>
      <c r="K132" s="20">
        <v>2025.0</v>
      </c>
      <c r="L132" s="28" t="s">
        <v>36</v>
      </c>
    </row>
    <row r="133">
      <c r="A133" s="20" t="s">
        <v>31</v>
      </c>
      <c r="B133" s="20" t="s">
        <v>68</v>
      </c>
      <c r="C133" s="20" t="s">
        <v>266</v>
      </c>
      <c r="D133" s="20">
        <v>42.0</v>
      </c>
      <c r="E133" s="20">
        <v>1648.0</v>
      </c>
      <c r="F133" s="25">
        <v>39.2</v>
      </c>
      <c r="G133" s="20">
        <v>23.0</v>
      </c>
      <c r="H133" s="20" t="s">
        <v>60</v>
      </c>
      <c r="I133" s="20" t="s">
        <v>35</v>
      </c>
      <c r="J133" s="20">
        <v>18.0</v>
      </c>
      <c r="K133" s="20">
        <v>2025.0</v>
      </c>
      <c r="L133" s="28" t="s">
        <v>36</v>
      </c>
    </row>
    <row r="134">
      <c r="A134" s="20" t="s">
        <v>65</v>
      </c>
      <c r="B134" s="20" t="s">
        <v>94</v>
      </c>
      <c r="C134" s="20" t="s">
        <v>95</v>
      </c>
      <c r="D134" s="20">
        <v>49.0</v>
      </c>
      <c r="E134" s="20">
        <v>764.0</v>
      </c>
      <c r="F134" s="25">
        <v>15.5</v>
      </c>
      <c r="G134" s="20">
        <v>10.0</v>
      </c>
      <c r="H134" s="20" t="s">
        <v>60</v>
      </c>
      <c r="I134" s="20" t="s">
        <v>35</v>
      </c>
      <c r="J134" s="20">
        <v>18.0</v>
      </c>
      <c r="K134" s="20">
        <v>2025.0</v>
      </c>
      <c r="L134" s="28" t="s">
        <v>36</v>
      </c>
    </row>
    <row r="135">
      <c r="A135" s="20" t="s">
        <v>22</v>
      </c>
      <c r="B135" s="20" t="s">
        <v>96</v>
      </c>
      <c r="C135" s="20" t="s">
        <v>165</v>
      </c>
      <c r="D135" s="20">
        <v>24.0</v>
      </c>
      <c r="E135" s="20">
        <v>220.0</v>
      </c>
      <c r="F135" s="25">
        <v>9.1</v>
      </c>
      <c r="G135" s="20">
        <v>8.0</v>
      </c>
      <c r="H135" s="20" t="s">
        <v>81</v>
      </c>
      <c r="I135" s="20" t="s">
        <v>187</v>
      </c>
      <c r="J135" s="20">
        <v>18.0</v>
      </c>
      <c r="K135" s="20">
        <v>2025.0</v>
      </c>
      <c r="L135" s="28" t="s">
        <v>36</v>
      </c>
    </row>
    <row r="136">
      <c r="A136" s="20" t="s">
        <v>22</v>
      </c>
      <c r="B136" s="20" t="s">
        <v>192</v>
      </c>
      <c r="C136" s="20" t="s">
        <v>194</v>
      </c>
      <c r="D136" s="20">
        <v>1.0</v>
      </c>
      <c r="E136" s="20">
        <v>8.0</v>
      </c>
      <c r="F136" s="25">
        <v>8.0</v>
      </c>
      <c r="G136" s="20">
        <v>0.0</v>
      </c>
      <c r="H136" s="20" t="s">
        <v>81</v>
      </c>
      <c r="I136" s="20" t="s">
        <v>187</v>
      </c>
      <c r="J136" s="20">
        <v>18.0</v>
      </c>
      <c r="K136" s="20">
        <v>2025.0</v>
      </c>
      <c r="L136" s="28" t="s">
        <v>36</v>
      </c>
    </row>
    <row r="137">
      <c r="A137" s="20" t="s">
        <v>31</v>
      </c>
      <c r="B137" s="20" t="s">
        <v>348</v>
      </c>
      <c r="C137" s="20" t="s">
        <v>109</v>
      </c>
      <c r="D137" s="20">
        <v>41.0</v>
      </c>
      <c r="E137" s="20">
        <v>966.0</v>
      </c>
      <c r="F137" s="25">
        <v>23.5</v>
      </c>
      <c r="G137" s="20">
        <v>15.0</v>
      </c>
      <c r="H137" s="20" t="s">
        <v>81</v>
      </c>
      <c r="I137" s="20" t="s">
        <v>187</v>
      </c>
      <c r="J137" s="20">
        <v>18.0</v>
      </c>
      <c r="K137" s="20">
        <v>2025.0</v>
      </c>
      <c r="L137" s="28" t="s">
        <v>36</v>
      </c>
    </row>
    <row r="138">
      <c r="A138" s="20" t="s">
        <v>31</v>
      </c>
      <c r="B138" s="20" t="s">
        <v>141</v>
      </c>
      <c r="C138" s="20" t="s">
        <v>142</v>
      </c>
      <c r="D138" s="20">
        <v>46.0</v>
      </c>
      <c r="E138" s="20">
        <v>2139.0</v>
      </c>
      <c r="F138" s="25">
        <v>46.5</v>
      </c>
      <c r="G138" s="20">
        <v>26.0</v>
      </c>
      <c r="H138" s="20" t="s">
        <v>81</v>
      </c>
      <c r="I138" s="20" t="s">
        <v>187</v>
      </c>
      <c r="J138" s="20">
        <v>18.0</v>
      </c>
      <c r="K138" s="20">
        <v>2025.0</v>
      </c>
      <c r="L138" s="28" t="s">
        <v>36</v>
      </c>
    </row>
    <row r="139">
      <c r="A139" s="20" t="s">
        <v>31</v>
      </c>
      <c r="B139" s="20" t="s">
        <v>195</v>
      </c>
      <c r="C139" s="20" t="s">
        <v>196</v>
      </c>
      <c r="D139" s="20">
        <v>30.0</v>
      </c>
      <c r="E139" s="20">
        <v>754.0</v>
      </c>
      <c r="F139" s="25">
        <v>25.1</v>
      </c>
      <c r="G139" s="20">
        <v>4.0</v>
      </c>
      <c r="H139" s="20" t="s">
        <v>81</v>
      </c>
      <c r="I139" s="20" t="s">
        <v>187</v>
      </c>
      <c r="J139" s="20">
        <v>18.0</v>
      </c>
      <c r="K139" s="20">
        <v>2025.0</v>
      </c>
      <c r="L139" s="28" t="s">
        <v>36</v>
      </c>
    </row>
    <row r="140">
      <c r="A140" s="20" t="s">
        <v>65</v>
      </c>
      <c r="B140" s="20" t="s">
        <v>239</v>
      </c>
      <c r="C140" s="20" t="s">
        <v>110</v>
      </c>
      <c r="D140" s="20">
        <v>49.0</v>
      </c>
      <c r="E140" s="20">
        <v>832.0</v>
      </c>
      <c r="F140" s="25">
        <v>16.9</v>
      </c>
      <c r="G140" s="20">
        <v>14.0</v>
      </c>
      <c r="H140" s="20" t="s">
        <v>81</v>
      </c>
      <c r="I140" s="20" t="s">
        <v>187</v>
      </c>
      <c r="J140" s="20">
        <v>18.0</v>
      </c>
      <c r="K140" s="20">
        <v>2025.0</v>
      </c>
      <c r="L140" s="28" t="s">
        <v>36</v>
      </c>
    </row>
    <row r="141">
      <c r="A141" s="20" t="s">
        <v>31</v>
      </c>
      <c r="B141" s="20" t="s">
        <v>141</v>
      </c>
      <c r="C141" s="20" t="s">
        <v>142</v>
      </c>
      <c r="D141" s="20">
        <v>50.0</v>
      </c>
      <c r="E141" s="20">
        <v>1897.0</v>
      </c>
      <c r="F141" s="25">
        <v>37.9</v>
      </c>
      <c r="G141" s="20">
        <v>18.0</v>
      </c>
      <c r="H141" s="20" t="s">
        <v>81</v>
      </c>
      <c r="I141" s="20" t="s">
        <v>187</v>
      </c>
      <c r="J141" s="20">
        <v>19.0</v>
      </c>
      <c r="K141" s="20">
        <v>2025.0</v>
      </c>
      <c r="L141" s="28" t="s">
        <v>36</v>
      </c>
    </row>
    <row r="142">
      <c r="A142" s="20" t="s">
        <v>65</v>
      </c>
      <c r="B142" s="20" t="s">
        <v>239</v>
      </c>
      <c r="C142" s="20" t="s">
        <v>110</v>
      </c>
      <c r="D142" s="20">
        <v>48.0</v>
      </c>
      <c r="E142" s="20">
        <v>1023.0</v>
      </c>
      <c r="F142" s="25">
        <v>21.3</v>
      </c>
      <c r="G142" s="20">
        <v>7.0</v>
      </c>
      <c r="H142" s="20" t="s">
        <v>81</v>
      </c>
      <c r="I142" s="20" t="s">
        <v>187</v>
      </c>
      <c r="J142" s="20">
        <v>19.0</v>
      </c>
      <c r="K142" s="20">
        <v>2025.0</v>
      </c>
      <c r="L142" s="28" t="s">
        <v>36</v>
      </c>
    </row>
    <row r="143">
      <c r="A143" s="20" t="s">
        <v>31</v>
      </c>
      <c r="B143" s="20" t="s">
        <v>348</v>
      </c>
      <c r="C143" s="20" t="s">
        <v>109</v>
      </c>
      <c r="D143" s="20">
        <v>46.0</v>
      </c>
      <c r="E143" s="20">
        <v>928.0</v>
      </c>
      <c r="F143" s="25">
        <v>20.1</v>
      </c>
      <c r="G143" s="20">
        <v>11.0</v>
      </c>
      <c r="H143" s="20" t="s">
        <v>81</v>
      </c>
      <c r="I143" s="20" t="s">
        <v>187</v>
      </c>
      <c r="J143" s="20">
        <v>19.0</v>
      </c>
      <c r="K143" s="20">
        <v>2025.0</v>
      </c>
      <c r="L143" s="28" t="s">
        <v>36</v>
      </c>
    </row>
    <row r="144">
      <c r="A144" s="20" t="s">
        <v>22</v>
      </c>
      <c r="B144" s="20" t="s">
        <v>48</v>
      </c>
      <c r="C144" s="20" t="s">
        <v>49</v>
      </c>
      <c r="D144" s="20">
        <v>1.0</v>
      </c>
      <c r="E144" s="20">
        <v>7.0</v>
      </c>
      <c r="F144" s="25">
        <v>7.0</v>
      </c>
      <c r="G144" s="20">
        <v>0.0</v>
      </c>
      <c r="H144" s="20" t="s">
        <v>47</v>
      </c>
      <c r="I144" s="20" t="s">
        <v>35</v>
      </c>
      <c r="J144" s="20">
        <v>19.0</v>
      </c>
      <c r="K144" s="20">
        <v>2025.0</v>
      </c>
      <c r="L144" s="28" t="s">
        <v>36</v>
      </c>
    </row>
    <row r="145">
      <c r="A145" s="20" t="s">
        <v>31</v>
      </c>
      <c r="B145" s="20" t="s">
        <v>195</v>
      </c>
      <c r="C145" s="20" t="s">
        <v>196</v>
      </c>
      <c r="D145" s="20">
        <v>19.0</v>
      </c>
      <c r="E145" s="20">
        <v>738.0</v>
      </c>
      <c r="F145" s="25">
        <v>38.8</v>
      </c>
      <c r="G145" s="20">
        <v>7.0</v>
      </c>
      <c r="H145" s="20" t="s">
        <v>81</v>
      </c>
      <c r="I145" s="20" t="s">
        <v>187</v>
      </c>
      <c r="J145" s="20">
        <v>19.0</v>
      </c>
      <c r="K145" s="20">
        <v>2025.0</v>
      </c>
      <c r="L145" s="28" t="s">
        <v>36</v>
      </c>
    </row>
    <row r="146">
      <c r="A146" s="20" t="s">
        <v>22</v>
      </c>
      <c r="B146" s="20" t="s">
        <v>96</v>
      </c>
      <c r="C146" s="20" t="s">
        <v>165</v>
      </c>
      <c r="D146" s="20">
        <v>27.0</v>
      </c>
      <c r="E146" s="20">
        <v>217.0</v>
      </c>
      <c r="F146" s="25">
        <v>8.0</v>
      </c>
      <c r="G146" s="20">
        <v>7.0</v>
      </c>
      <c r="H146" s="20" t="s">
        <v>81</v>
      </c>
      <c r="I146" s="20" t="s">
        <v>187</v>
      </c>
      <c r="J146" s="20">
        <v>19.0</v>
      </c>
      <c r="K146" s="20">
        <v>2025.0</v>
      </c>
      <c r="L146" s="28" t="s">
        <v>36</v>
      </c>
    </row>
    <row r="147">
      <c r="A147" s="20" t="s">
        <v>31</v>
      </c>
      <c r="B147" s="20" t="s">
        <v>363</v>
      </c>
      <c r="C147" s="20" t="s">
        <v>364</v>
      </c>
      <c r="D147" s="20">
        <v>9.0</v>
      </c>
      <c r="E147" s="20">
        <v>287.0</v>
      </c>
      <c r="F147" s="25">
        <v>31.8</v>
      </c>
      <c r="G147" s="20">
        <v>1.0</v>
      </c>
      <c r="H147" s="20" t="s">
        <v>47</v>
      </c>
      <c r="I147" s="20" t="s">
        <v>35</v>
      </c>
      <c r="J147" s="20">
        <v>19.0</v>
      </c>
      <c r="K147" s="20">
        <v>2025.0</v>
      </c>
      <c r="L147" s="28" t="s">
        <v>36</v>
      </c>
    </row>
    <row r="148">
      <c r="A148" s="20" t="s">
        <v>31</v>
      </c>
      <c r="B148" s="20" t="s">
        <v>480</v>
      </c>
      <c r="C148" s="20" t="s">
        <v>446</v>
      </c>
      <c r="D148" s="20">
        <v>8.0</v>
      </c>
      <c r="E148" s="20">
        <v>337.0</v>
      </c>
      <c r="F148" s="25">
        <v>42.1</v>
      </c>
      <c r="G148" s="20">
        <v>3.0</v>
      </c>
      <c r="H148" s="20" t="s">
        <v>47</v>
      </c>
      <c r="I148" s="20" t="s">
        <v>35</v>
      </c>
      <c r="J148" s="20">
        <v>19.0</v>
      </c>
      <c r="K148" s="20">
        <v>2025.0</v>
      </c>
      <c r="L148" s="28" t="s">
        <v>36</v>
      </c>
    </row>
    <row r="149">
      <c r="A149" s="20" t="s">
        <v>31</v>
      </c>
      <c r="B149" s="20" t="s">
        <v>482</v>
      </c>
      <c r="C149" s="20" t="s">
        <v>483</v>
      </c>
      <c r="D149" s="20">
        <v>7.0</v>
      </c>
      <c r="E149" s="20">
        <v>122.0</v>
      </c>
      <c r="F149" s="25">
        <v>17.4</v>
      </c>
      <c r="G149" s="20">
        <v>0.0</v>
      </c>
      <c r="H149" s="20" t="s">
        <v>47</v>
      </c>
      <c r="I149" s="20" t="s">
        <v>35</v>
      </c>
      <c r="J149" s="20">
        <v>19.0</v>
      </c>
      <c r="K149" s="20">
        <v>2025.0</v>
      </c>
      <c r="L149" s="28" t="s">
        <v>36</v>
      </c>
    </row>
    <row r="150">
      <c r="A150" s="20" t="s">
        <v>22</v>
      </c>
      <c r="B150" s="20" t="s">
        <v>48</v>
      </c>
      <c r="C150" s="20" t="s">
        <v>49</v>
      </c>
      <c r="D150" s="20">
        <v>12.0</v>
      </c>
      <c r="E150" s="20">
        <v>269.0</v>
      </c>
      <c r="F150" s="25">
        <v>22.4</v>
      </c>
      <c r="G150" s="20">
        <v>5.0</v>
      </c>
      <c r="H150" s="20" t="s">
        <v>47</v>
      </c>
      <c r="I150" s="20" t="s">
        <v>30</v>
      </c>
      <c r="J150" s="20">
        <v>20.0</v>
      </c>
      <c r="K150" s="20">
        <v>2025.0</v>
      </c>
      <c r="L150" s="28" t="s">
        <v>36</v>
      </c>
    </row>
    <row r="151">
      <c r="A151" s="20" t="s">
        <v>31</v>
      </c>
      <c r="B151" s="20" t="s">
        <v>363</v>
      </c>
      <c r="C151" s="20" t="s">
        <v>364</v>
      </c>
      <c r="D151" s="20">
        <v>42.0</v>
      </c>
      <c r="E151" s="20">
        <v>922.0</v>
      </c>
      <c r="F151" s="25">
        <v>21.9</v>
      </c>
      <c r="G151" s="20">
        <v>9.0</v>
      </c>
      <c r="H151" s="20" t="s">
        <v>47</v>
      </c>
      <c r="I151" s="20" t="s">
        <v>30</v>
      </c>
      <c r="J151" s="20">
        <v>20.0</v>
      </c>
      <c r="K151" s="20">
        <v>2025.0</v>
      </c>
      <c r="L151" s="28" t="s">
        <v>36</v>
      </c>
    </row>
    <row r="152">
      <c r="A152" s="20" t="s">
        <v>31</v>
      </c>
      <c r="B152" s="20" t="s">
        <v>178</v>
      </c>
      <c r="C152" s="20" t="s">
        <v>358</v>
      </c>
      <c r="D152" s="20">
        <v>39.0</v>
      </c>
      <c r="E152" s="20">
        <v>944.0</v>
      </c>
      <c r="F152" s="25">
        <v>24.2</v>
      </c>
      <c r="G152" s="20">
        <v>8.0</v>
      </c>
      <c r="H152" s="20" t="s">
        <v>47</v>
      </c>
      <c r="I152" s="20" t="s">
        <v>30</v>
      </c>
      <c r="J152" s="20">
        <v>20.0</v>
      </c>
      <c r="K152" s="20">
        <v>2025.0</v>
      </c>
      <c r="L152" s="28" t="s">
        <v>36</v>
      </c>
    </row>
    <row r="153">
      <c r="A153" s="20" t="s">
        <v>31</v>
      </c>
      <c r="B153" s="20" t="s">
        <v>480</v>
      </c>
      <c r="C153" s="20" t="s">
        <v>446</v>
      </c>
      <c r="D153" s="20">
        <v>12.0</v>
      </c>
      <c r="E153" s="20">
        <v>555.0</v>
      </c>
      <c r="F153" s="25">
        <v>46.2</v>
      </c>
      <c r="G153" s="20">
        <v>9.0</v>
      </c>
      <c r="H153" s="20" t="s">
        <v>47</v>
      </c>
      <c r="I153" s="20" t="s">
        <v>30</v>
      </c>
      <c r="J153" s="20">
        <v>20.0</v>
      </c>
      <c r="K153" s="20">
        <v>2025.0</v>
      </c>
      <c r="L153" s="28" t="s">
        <v>36</v>
      </c>
    </row>
    <row r="154">
      <c r="A154" s="20" t="s">
        <v>31</v>
      </c>
      <c r="B154" s="20" t="s">
        <v>482</v>
      </c>
      <c r="C154" s="20" t="s">
        <v>483</v>
      </c>
      <c r="D154" s="20">
        <v>28.0</v>
      </c>
      <c r="E154" s="20">
        <v>563.0</v>
      </c>
      <c r="F154" s="25">
        <v>20.1</v>
      </c>
      <c r="G154" s="20">
        <v>10.0</v>
      </c>
      <c r="H154" s="20" t="s">
        <v>47</v>
      </c>
      <c r="I154" s="20" t="s">
        <v>30</v>
      </c>
      <c r="J154" s="20">
        <v>20.0</v>
      </c>
      <c r="K154" s="20">
        <v>2025.0</v>
      </c>
      <c r="L154" s="28" t="s">
        <v>36</v>
      </c>
    </row>
    <row r="155">
      <c r="A155" s="20" t="s">
        <v>31</v>
      </c>
      <c r="B155" s="20" t="s">
        <v>308</v>
      </c>
      <c r="C155" s="20" t="s">
        <v>190</v>
      </c>
      <c r="D155" s="20">
        <v>23.0</v>
      </c>
      <c r="E155" s="20">
        <v>714.0</v>
      </c>
      <c r="F155" s="25">
        <v>31.0</v>
      </c>
      <c r="G155" s="20">
        <v>6.0</v>
      </c>
      <c r="H155" s="20" t="s">
        <v>62</v>
      </c>
      <c r="I155" s="20" t="s">
        <v>205</v>
      </c>
      <c r="J155" s="20">
        <v>21.0</v>
      </c>
      <c r="K155" s="20">
        <v>2026.0</v>
      </c>
      <c r="L155" s="28" t="s">
        <v>36</v>
      </c>
    </row>
    <row r="156">
      <c r="A156" s="20" t="s">
        <v>31</v>
      </c>
      <c r="B156" s="20" t="s">
        <v>297</v>
      </c>
      <c r="C156" s="20" t="s">
        <v>298</v>
      </c>
      <c r="D156" s="20">
        <v>29.0</v>
      </c>
      <c r="E156" s="20">
        <v>643.0</v>
      </c>
      <c r="F156" s="25">
        <v>22.1</v>
      </c>
      <c r="G156" s="20">
        <v>5.0</v>
      </c>
      <c r="H156" s="20" t="s">
        <v>62</v>
      </c>
      <c r="I156" s="20" t="s">
        <v>205</v>
      </c>
      <c r="J156" s="20">
        <v>21.0</v>
      </c>
      <c r="K156" s="20">
        <v>2026.0</v>
      </c>
      <c r="L156" s="28" t="s">
        <v>36</v>
      </c>
    </row>
    <row r="157">
      <c r="A157" s="20" t="s">
        <v>31</v>
      </c>
      <c r="B157" s="20" t="s">
        <v>24</v>
      </c>
      <c r="C157" s="20" t="s">
        <v>339</v>
      </c>
      <c r="D157" s="20">
        <v>4.0</v>
      </c>
      <c r="E157" s="20">
        <v>107.0</v>
      </c>
      <c r="F157" s="25">
        <v>26.7</v>
      </c>
      <c r="G157" s="20">
        <v>0.0</v>
      </c>
      <c r="H157" s="20" t="s">
        <v>62</v>
      </c>
      <c r="I157" s="20" t="s">
        <v>205</v>
      </c>
      <c r="J157" s="20">
        <v>21.0</v>
      </c>
      <c r="K157" s="20">
        <v>2026.0</v>
      </c>
      <c r="L157" s="28" t="s">
        <v>36</v>
      </c>
    </row>
    <row r="158">
      <c r="A158" s="20" t="s">
        <v>65</v>
      </c>
      <c r="B158" s="20" t="s">
        <v>24</v>
      </c>
      <c r="C158" s="20" t="s">
        <v>110</v>
      </c>
      <c r="D158" s="20">
        <v>53.0</v>
      </c>
      <c r="E158" s="20">
        <v>1340.0</v>
      </c>
      <c r="F158" s="25">
        <v>25.2</v>
      </c>
      <c r="G158" s="20">
        <v>13.0</v>
      </c>
      <c r="H158" s="20" t="s">
        <v>62</v>
      </c>
      <c r="I158" s="20" t="s">
        <v>205</v>
      </c>
      <c r="J158" s="20">
        <v>21.0</v>
      </c>
      <c r="K158" s="20">
        <v>2026.0</v>
      </c>
      <c r="L158" s="28" t="s">
        <v>36</v>
      </c>
    </row>
    <row r="159">
      <c r="A159" s="20" t="s">
        <v>22</v>
      </c>
      <c r="B159" s="20" t="s">
        <v>118</v>
      </c>
      <c r="C159" s="20" t="s">
        <v>119</v>
      </c>
      <c r="D159" s="20">
        <v>16.0</v>
      </c>
      <c r="E159" s="20">
        <v>297.0</v>
      </c>
      <c r="F159" s="25">
        <v>18.5</v>
      </c>
      <c r="G159" s="20">
        <v>6.0</v>
      </c>
      <c r="H159" s="20" t="s">
        <v>121</v>
      </c>
      <c r="I159" s="20" t="s">
        <v>30</v>
      </c>
      <c r="J159" s="20">
        <v>21.0</v>
      </c>
      <c r="K159" s="20">
        <v>2026.0</v>
      </c>
      <c r="L159" s="28" t="s">
        <v>36</v>
      </c>
    </row>
    <row r="160">
      <c r="A160" s="20" t="s">
        <v>22</v>
      </c>
      <c r="B160" s="20" t="s">
        <v>510</v>
      </c>
      <c r="C160" s="20" t="s">
        <v>126</v>
      </c>
      <c r="D160" s="20">
        <v>49.0</v>
      </c>
      <c r="E160" s="20">
        <v>1046.0</v>
      </c>
      <c r="F160" s="25">
        <v>21.3</v>
      </c>
      <c r="G160" s="20">
        <v>9.0</v>
      </c>
      <c r="H160" s="20" t="s">
        <v>121</v>
      </c>
      <c r="I160" s="20" t="s">
        <v>30</v>
      </c>
      <c r="J160" s="20">
        <v>21.0</v>
      </c>
      <c r="K160" s="20">
        <v>2026.0</v>
      </c>
      <c r="L160" s="28" t="s">
        <v>36</v>
      </c>
    </row>
    <row r="161">
      <c r="A161" s="20" t="s">
        <v>31</v>
      </c>
      <c r="B161" s="20" t="s">
        <v>178</v>
      </c>
      <c r="C161" s="20" t="s">
        <v>292</v>
      </c>
      <c r="D161" s="20">
        <v>27.0</v>
      </c>
      <c r="E161" s="20">
        <v>740.0</v>
      </c>
      <c r="F161" s="25">
        <v>27.4</v>
      </c>
      <c r="G161" s="20">
        <v>8.0</v>
      </c>
      <c r="H161" s="20" t="s">
        <v>121</v>
      </c>
      <c r="I161" s="20" t="s">
        <v>30</v>
      </c>
      <c r="J161" s="20">
        <v>21.0</v>
      </c>
      <c r="K161" s="20">
        <v>2026.0</v>
      </c>
      <c r="L161" s="28" t="s">
        <v>36</v>
      </c>
    </row>
    <row r="162">
      <c r="A162" s="20" t="s">
        <v>31</v>
      </c>
      <c r="B162" s="20" t="s">
        <v>24</v>
      </c>
      <c r="C162" s="20" t="s">
        <v>33</v>
      </c>
      <c r="D162" s="20">
        <v>8.0</v>
      </c>
      <c r="E162" s="20">
        <v>323.0</v>
      </c>
      <c r="F162" s="25">
        <v>40.3</v>
      </c>
      <c r="G162" s="20">
        <v>6.0</v>
      </c>
      <c r="H162" s="20" t="s">
        <v>121</v>
      </c>
      <c r="I162" s="20" t="s">
        <v>30</v>
      </c>
      <c r="J162" s="20">
        <v>21.0</v>
      </c>
      <c r="K162" s="20">
        <v>2026.0</v>
      </c>
      <c r="L162" s="28" t="s">
        <v>36</v>
      </c>
    </row>
    <row r="163">
      <c r="A163" s="20" t="s">
        <v>65</v>
      </c>
      <c r="B163" s="20" t="s">
        <v>283</v>
      </c>
      <c r="C163" s="20" t="s">
        <v>284</v>
      </c>
      <c r="D163" s="20">
        <v>13.0</v>
      </c>
      <c r="E163" s="20">
        <v>243.0</v>
      </c>
      <c r="F163" s="25">
        <v>18.6</v>
      </c>
      <c r="G163" s="20">
        <v>2.0</v>
      </c>
      <c r="H163" s="20" t="s">
        <v>121</v>
      </c>
      <c r="I163" s="20" t="s">
        <v>30</v>
      </c>
      <c r="J163" s="20">
        <v>21.0</v>
      </c>
      <c r="K163" s="20">
        <v>2026.0</v>
      </c>
      <c r="L163" s="28" t="s">
        <v>36</v>
      </c>
    </row>
    <row r="164">
      <c r="A164" s="20"/>
      <c r="B164" s="20"/>
      <c r="C164" s="20"/>
      <c r="D164" s="20"/>
      <c r="E164" s="20"/>
      <c r="F164" s="25"/>
      <c r="G164" s="20"/>
      <c r="H164" s="20"/>
      <c r="I164" s="20"/>
      <c r="J164" s="20"/>
      <c r="K164" s="20"/>
      <c r="L164" s="28"/>
    </row>
    <row r="165">
      <c r="A165" s="20"/>
      <c r="B165" s="20"/>
      <c r="C165" s="20"/>
      <c r="D165" s="20"/>
      <c r="E165" s="20"/>
      <c r="F165" s="25"/>
      <c r="G165" s="20"/>
      <c r="H165" s="20"/>
      <c r="I165" s="20"/>
      <c r="J165" s="20"/>
      <c r="K165" s="20"/>
      <c r="L165" s="28"/>
    </row>
    <row r="166">
      <c r="A166" s="20"/>
      <c r="B166" s="20"/>
      <c r="C166" s="20"/>
      <c r="D166" s="20"/>
      <c r="E166" s="20"/>
      <c r="F166" s="25"/>
      <c r="G166" s="20"/>
      <c r="H166" s="20"/>
      <c r="I166" s="20"/>
      <c r="J166" s="20"/>
      <c r="K166" s="20"/>
      <c r="L166" s="28"/>
    </row>
    <row r="167">
      <c r="A167" s="20"/>
      <c r="B167" s="20"/>
      <c r="C167" s="20"/>
      <c r="D167" s="20"/>
      <c r="E167" s="20"/>
      <c r="F167" s="25"/>
      <c r="G167" s="20"/>
      <c r="H167" s="20"/>
      <c r="I167" s="20"/>
      <c r="J167" s="20"/>
      <c r="K167" s="20"/>
      <c r="L167" s="28"/>
    </row>
    <row r="168">
      <c r="A168" s="20"/>
      <c r="B168" s="20"/>
      <c r="C168" s="20"/>
      <c r="D168" s="20"/>
      <c r="E168" s="20"/>
      <c r="F168" s="25"/>
      <c r="G168" s="20"/>
      <c r="H168" s="20"/>
      <c r="I168" s="20"/>
      <c r="J168" s="20"/>
      <c r="K168" s="20"/>
      <c r="L168" s="28"/>
    </row>
    <row r="169">
      <c r="A169" s="20"/>
      <c r="B169" s="20"/>
      <c r="C169" s="20"/>
      <c r="D169" s="20"/>
      <c r="E169" s="20"/>
      <c r="F169" s="25"/>
      <c r="G169" s="20"/>
      <c r="H169" s="20"/>
      <c r="I169" s="20"/>
      <c r="J169" s="20"/>
      <c r="K169" s="20"/>
      <c r="L169" s="28"/>
    </row>
    <row r="170">
      <c r="A170" s="20"/>
      <c r="B170" s="20"/>
      <c r="C170" s="20"/>
      <c r="D170" s="20"/>
      <c r="E170" s="20"/>
      <c r="F170" s="25"/>
      <c r="G170" s="20"/>
      <c r="H170" s="20"/>
      <c r="I170" s="20"/>
      <c r="J170" s="20"/>
      <c r="K170" s="20"/>
      <c r="L170" s="28"/>
    </row>
    <row r="171">
      <c r="A171" s="20"/>
      <c r="B171" s="20"/>
      <c r="C171" s="20"/>
      <c r="D171" s="20"/>
      <c r="E171" s="20"/>
      <c r="F171" s="25"/>
      <c r="G171" s="20"/>
      <c r="H171" s="20"/>
      <c r="I171" s="20"/>
      <c r="J171" s="20"/>
      <c r="K171" s="20"/>
      <c r="L171" s="28"/>
    </row>
    <row r="172">
      <c r="A172" s="20"/>
      <c r="B172" s="20"/>
      <c r="C172" s="20"/>
      <c r="D172" s="20"/>
      <c r="E172" s="20"/>
      <c r="F172" s="25"/>
      <c r="G172" s="20"/>
      <c r="H172" s="20"/>
      <c r="I172" s="20"/>
      <c r="J172" s="20"/>
      <c r="K172" s="20"/>
      <c r="L172" s="28"/>
    </row>
    <row r="173">
      <c r="A173" s="20"/>
      <c r="B173" s="20"/>
      <c r="C173" s="20"/>
      <c r="D173" s="20"/>
      <c r="E173" s="20"/>
      <c r="F173" s="25"/>
      <c r="G173" s="20"/>
      <c r="H173" s="20"/>
      <c r="I173" s="20"/>
      <c r="J173" s="20"/>
      <c r="K173" s="20"/>
      <c r="L173" s="28"/>
    </row>
    <row r="174">
      <c r="A174" s="20"/>
      <c r="B174" s="20"/>
      <c r="C174" s="20"/>
      <c r="D174" s="20"/>
      <c r="E174" s="20"/>
      <c r="F174" s="25"/>
      <c r="G174" s="20"/>
      <c r="H174" s="20"/>
      <c r="I174" s="20"/>
      <c r="J174" s="20"/>
      <c r="K174" s="20"/>
      <c r="L174" s="28"/>
    </row>
    <row r="175">
      <c r="A175" s="20"/>
      <c r="B175" s="20"/>
      <c r="C175" s="20"/>
      <c r="D175" s="20"/>
      <c r="E175" s="20"/>
      <c r="F175" s="25"/>
      <c r="G175" s="20"/>
      <c r="H175" s="20"/>
      <c r="I175" s="20"/>
      <c r="J175" s="20"/>
      <c r="K175" s="20"/>
      <c r="L175" s="28"/>
    </row>
    <row r="176">
      <c r="A176" s="20"/>
      <c r="B176" s="20"/>
      <c r="C176" s="20"/>
      <c r="D176" s="20"/>
      <c r="E176" s="20"/>
      <c r="F176" s="25"/>
      <c r="G176" s="20"/>
      <c r="H176" s="20"/>
      <c r="I176" s="20"/>
      <c r="J176" s="20"/>
      <c r="K176" s="20"/>
      <c r="L176" s="28"/>
    </row>
    <row r="177">
      <c r="A177" s="20"/>
      <c r="B177" s="20"/>
      <c r="C177" s="20"/>
      <c r="D177" s="20"/>
      <c r="E177" s="20"/>
      <c r="F177" s="25"/>
      <c r="G177" s="20"/>
      <c r="H177" s="20"/>
      <c r="I177" s="20"/>
      <c r="J177" s="20"/>
      <c r="K177" s="20"/>
      <c r="L177" s="28"/>
    </row>
    <row r="178">
      <c r="A178" s="20"/>
      <c r="B178" s="20"/>
      <c r="C178" s="20"/>
      <c r="D178" s="20"/>
      <c r="E178" s="20"/>
      <c r="F178" s="25"/>
      <c r="G178" s="20"/>
      <c r="H178" s="20"/>
      <c r="I178" s="20"/>
      <c r="J178" s="20"/>
      <c r="K178" s="20"/>
      <c r="L178" s="28"/>
    </row>
    <row r="179">
      <c r="A179" s="20"/>
      <c r="B179" s="20"/>
      <c r="C179" s="20"/>
      <c r="D179" s="20"/>
      <c r="E179" s="20"/>
      <c r="F179" s="25"/>
      <c r="G179" s="20"/>
      <c r="H179" s="20"/>
      <c r="I179" s="20"/>
      <c r="J179" s="20"/>
      <c r="K179" s="20"/>
      <c r="L179" s="28"/>
    </row>
    <row r="180">
      <c r="A180" s="20"/>
      <c r="B180" s="20"/>
      <c r="C180" s="20"/>
      <c r="D180" s="20"/>
      <c r="E180" s="20"/>
      <c r="F180" s="25"/>
      <c r="G180" s="20"/>
      <c r="H180" s="20"/>
      <c r="I180" s="20"/>
      <c r="J180" s="20"/>
      <c r="K180" s="20"/>
      <c r="L180" s="28"/>
    </row>
    <row r="181">
      <c r="A181" s="20"/>
      <c r="B181" s="20"/>
      <c r="C181" s="20"/>
      <c r="D181" s="20"/>
      <c r="E181" s="20"/>
      <c r="F181" s="25"/>
      <c r="G181" s="20"/>
      <c r="H181" s="20"/>
      <c r="I181" s="20"/>
      <c r="J181" s="20"/>
      <c r="K181" s="20"/>
      <c r="L181" s="28"/>
    </row>
    <row r="182">
      <c r="A182" s="20"/>
      <c r="B182" s="20"/>
      <c r="C182" s="20"/>
      <c r="D182" s="20"/>
      <c r="E182" s="20"/>
      <c r="F182" s="25"/>
      <c r="G182" s="20"/>
      <c r="H182" s="20"/>
      <c r="I182" s="20"/>
      <c r="J182" s="20"/>
      <c r="K182" s="20"/>
      <c r="L182" s="28"/>
    </row>
    <row r="183">
      <c r="A183" s="20"/>
      <c r="B183" s="20"/>
      <c r="C183" s="20"/>
      <c r="D183" s="20"/>
      <c r="E183" s="20"/>
      <c r="F183" s="25"/>
      <c r="G183" s="20"/>
      <c r="H183" s="20"/>
      <c r="I183" s="20"/>
      <c r="J183" s="20"/>
      <c r="K183" s="20"/>
      <c r="L183" s="28"/>
    </row>
    <row r="184">
      <c r="A184" s="20"/>
      <c r="B184" s="20"/>
      <c r="C184" s="20"/>
      <c r="D184" s="20"/>
      <c r="E184" s="20"/>
      <c r="F184" s="25"/>
      <c r="G184" s="20"/>
      <c r="H184" s="20"/>
      <c r="I184" s="20"/>
      <c r="J184" s="20"/>
      <c r="K184" s="20"/>
      <c r="L184" s="28"/>
    </row>
    <row r="185">
      <c r="A185" s="20"/>
      <c r="B185" s="20"/>
      <c r="C185" s="20"/>
      <c r="D185" s="20"/>
      <c r="E185" s="20"/>
      <c r="F185" s="25"/>
      <c r="G185" s="20"/>
      <c r="H185" s="20"/>
      <c r="I185" s="20"/>
      <c r="J185" s="20"/>
      <c r="K185" s="20"/>
      <c r="L185" s="28"/>
    </row>
    <row r="186">
      <c r="A186" s="20"/>
      <c r="B186" s="20"/>
      <c r="C186" s="20"/>
      <c r="D186" s="20"/>
      <c r="E186" s="20"/>
      <c r="F186" s="25"/>
      <c r="G186" s="20"/>
      <c r="H186" s="20"/>
      <c r="I186" s="20"/>
      <c r="J186" s="20"/>
      <c r="K186" s="20"/>
      <c r="L186" s="28"/>
    </row>
    <row r="187">
      <c r="A187" s="20"/>
      <c r="B187" s="20"/>
      <c r="C187" s="20"/>
      <c r="D187" s="20"/>
      <c r="E187" s="20"/>
      <c r="F187" s="25"/>
      <c r="G187" s="20"/>
      <c r="H187" s="20"/>
      <c r="I187" s="20"/>
      <c r="J187" s="20"/>
      <c r="K187" s="20"/>
      <c r="L187" s="28"/>
    </row>
    <row r="188">
      <c r="A188" s="20"/>
      <c r="B188" s="20"/>
      <c r="C188" s="20"/>
      <c r="D188" s="20"/>
      <c r="E188" s="20"/>
      <c r="F188" s="25"/>
      <c r="G188" s="20"/>
      <c r="H188" s="20"/>
      <c r="I188" s="20"/>
      <c r="J188" s="20"/>
      <c r="K188" s="20"/>
      <c r="L188" s="28"/>
    </row>
    <row r="189">
      <c r="A189" s="20"/>
      <c r="B189" s="20"/>
      <c r="C189" s="20"/>
      <c r="D189" s="20"/>
      <c r="E189" s="20"/>
      <c r="F189" s="25"/>
      <c r="G189" s="20"/>
      <c r="H189" s="20"/>
      <c r="I189" s="20"/>
      <c r="J189" s="20"/>
      <c r="K189" s="20"/>
      <c r="L189" s="28"/>
    </row>
    <row r="190">
      <c r="A190" s="20"/>
      <c r="B190" s="20"/>
      <c r="C190" s="20"/>
      <c r="D190" s="20"/>
      <c r="E190" s="20"/>
      <c r="F190" s="25"/>
      <c r="G190" s="20"/>
      <c r="H190" s="20"/>
      <c r="I190" s="20"/>
      <c r="J190" s="20"/>
      <c r="K190" s="20"/>
      <c r="L190" s="28"/>
    </row>
    <row r="191">
      <c r="A191" s="20"/>
      <c r="B191" s="20"/>
      <c r="C191" s="20"/>
      <c r="D191" s="20"/>
      <c r="E191" s="20"/>
      <c r="F191" s="25"/>
      <c r="G191" s="20"/>
      <c r="H191" s="20"/>
      <c r="I191" s="20"/>
      <c r="J191" s="20"/>
      <c r="K191" s="20"/>
      <c r="L191" s="28"/>
    </row>
    <row r="192">
      <c r="A192" s="20"/>
      <c r="B192" s="20"/>
      <c r="C192" s="20"/>
      <c r="D192" s="20"/>
      <c r="E192" s="20"/>
      <c r="F192" s="25"/>
      <c r="G192" s="20"/>
      <c r="H192" s="20"/>
      <c r="I192" s="20"/>
      <c r="J192" s="20"/>
      <c r="K192" s="20"/>
      <c r="L192" s="28"/>
    </row>
    <row r="193">
      <c r="A193" s="20"/>
      <c r="B193" s="20"/>
      <c r="C193" s="20"/>
      <c r="D193" s="20"/>
      <c r="E193" s="20"/>
      <c r="F193" s="25"/>
      <c r="G193" s="20"/>
      <c r="H193" s="20"/>
      <c r="I193" s="20"/>
      <c r="J193" s="20"/>
      <c r="K193" s="20"/>
      <c r="L193" s="28"/>
    </row>
    <row r="194">
      <c r="A194" s="20"/>
      <c r="B194" s="20"/>
      <c r="C194" s="20"/>
      <c r="D194" s="20"/>
      <c r="E194" s="20"/>
      <c r="F194" s="25"/>
      <c r="G194" s="20"/>
      <c r="H194" s="20"/>
      <c r="I194" s="20"/>
      <c r="J194" s="20"/>
      <c r="K194" s="20"/>
      <c r="L194" s="28"/>
    </row>
    <row r="195">
      <c r="A195" s="20"/>
      <c r="B195" s="20"/>
      <c r="C195" s="20"/>
      <c r="D195" s="20"/>
      <c r="E195" s="20"/>
      <c r="F195" s="25"/>
      <c r="G195" s="20"/>
      <c r="H195" s="20"/>
      <c r="I195" s="20"/>
      <c r="J195" s="20"/>
      <c r="K195" s="20"/>
      <c r="L195" s="28"/>
    </row>
    <row r="196">
      <c r="A196" s="20"/>
      <c r="B196" s="20"/>
      <c r="C196" s="20"/>
      <c r="D196" s="20"/>
      <c r="E196" s="20"/>
      <c r="F196" s="25"/>
      <c r="G196" s="20"/>
      <c r="H196" s="20"/>
      <c r="I196" s="20"/>
      <c r="J196" s="20"/>
      <c r="K196" s="20"/>
      <c r="L196" s="28"/>
    </row>
    <row r="197">
      <c r="A197" s="20"/>
      <c r="B197" s="20"/>
      <c r="C197" s="20"/>
      <c r="D197" s="20"/>
      <c r="E197" s="20"/>
      <c r="F197" s="25"/>
      <c r="G197" s="20"/>
      <c r="H197" s="20"/>
      <c r="I197" s="20"/>
      <c r="J197" s="20"/>
      <c r="K197" s="20"/>
      <c r="L197" s="28"/>
    </row>
    <row r="198">
      <c r="A198" s="20"/>
      <c r="B198" s="20"/>
      <c r="C198" s="20"/>
      <c r="D198" s="20"/>
      <c r="E198" s="20"/>
      <c r="F198" s="25"/>
      <c r="G198" s="20"/>
      <c r="H198" s="20"/>
      <c r="I198" s="20"/>
      <c r="J198" s="20"/>
      <c r="K198" s="20"/>
      <c r="L198" s="28"/>
    </row>
    <row r="199">
      <c r="A199" s="20"/>
      <c r="B199" s="20"/>
      <c r="C199" s="20"/>
      <c r="D199" s="20"/>
      <c r="E199" s="20"/>
      <c r="F199" s="25"/>
      <c r="G199" s="20"/>
      <c r="H199" s="20"/>
      <c r="I199" s="20"/>
      <c r="J199" s="20"/>
      <c r="K199" s="20"/>
      <c r="L199" s="28"/>
    </row>
    <row r="200">
      <c r="A200" s="20"/>
      <c r="B200" s="20"/>
      <c r="C200" s="20"/>
      <c r="D200" s="20"/>
      <c r="E200" s="20"/>
      <c r="F200" s="25"/>
      <c r="G200" s="20"/>
      <c r="H200" s="20"/>
      <c r="I200" s="20"/>
      <c r="J200" s="20"/>
      <c r="K200" s="20"/>
      <c r="L200" s="28"/>
    </row>
    <row r="201">
      <c r="A201" s="20"/>
      <c r="B201" s="20"/>
      <c r="C201" s="20"/>
      <c r="D201" s="20"/>
      <c r="E201" s="20"/>
      <c r="F201" s="25"/>
      <c r="G201" s="20"/>
      <c r="H201" s="20"/>
      <c r="I201" s="20"/>
      <c r="J201" s="20"/>
      <c r="K201" s="20"/>
      <c r="L201" s="28"/>
    </row>
    <row r="202">
      <c r="A202" s="20"/>
      <c r="B202" s="20"/>
      <c r="C202" s="20"/>
      <c r="D202" s="20"/>
      <c r="E202" s="20"/>
      <c r="F202" s="25"/>
      <c r="G202" s="20"/>
      <c r="H202" s="20"/>
      <c r="I202" s="20"/>
      <c r="J202" s="20"/>
      <c r="K202" s="20"/>
      <c r="L202" s="28"/>
    </row>
    <row r="203">
      <c r="A203" s="20"/>
      <c r="B203" s="20"/>
      <c r="C203" s="20"/>
      <c r="D203" s="20"/>
      <c r="E203" s="20"/>
      <c r="F203" s="25"/>
      <c r="G203" s="20"/>
      <c r="H203" s="20"/>
      <c r="I203" s="20"/>
      <c r="J203" s="20"/>
      <c r="K203" s="20"/>
      <c r="L203" s="28"/>
    </row>
    <row r="204">
      <c r="A204" s="20"/>
      <c r="B204" s="20"/>
      <c r="C204" s="20"/>
      <c r="D204" s="20"/>
      <c r="E204" s="20"/>
      <c r="F204" s="25"/>
      <c r="G204" s="20"/>
      <c r="H204" s="20"/>
      <c r="I204" s="20"/>
      <c r="J204" s="20"/>
      <c r="K204" s="20"/>
      <c r="L204" s="28"/>
    </row>
    <row r="205">
      <c r="A205" s="20"/>
      <c r="B205" s="20"/>
      <c r="C205" s="20"/>
      <c r="D205" s="20"/>
      <c r="E205" s="20"/>
      <c r="F205" s="25"/>
      <c r="G205" s="20"/>
      <c r="H205" s="20"/>
      <c r="I205" s="20"/>
      <c r="J205" s="20"/>
      <c r="K205" s="20"/>
      <c r="L205" s="28"/>
    </row>
    <row r="206">
      <c r="A206" s="20"/>
      <c r="B206" s="20"/>
      <c r="C206" s="20"/>
      <c r="D206" s="20"/>
      <c r="E206" s="20"/>
      <c r="F206" s="25"/>
      <c r="G206" s="20"/>
      <c r="H206" s="20"/>
      <c r="I206" s="20"/>
      <c r="J206" s="20"/>
      <c r="K206" s="20"/>
      <c r="L206" s="28"/>
    </row>
  </sheetData>
  <autoFilter ref="$A$2:$L$163"/>
  <mergeCells count="1">
    <mergeCell ref="A1:L1"/>
  </mergeCells>
  <conditionalFormatting sqref="D3:G206">
    <cfRule type="expression" dxfId="0" priority="1">
      <formula>D3&gt;=MAX(D$3:D$261)</formula>
    </cfRule>
  </conditionalFormatting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5.75"/>
    <col customWidth="1" min="2" max="3" width="11.5"/>
    <col customWidth="1" min="4" max="5" width="5.75"/>
    <col customWidth="1" min="6" max="6" width="10.5"/>
    <col customWidth="1" min="7" max="7" width="4.88"/>
    <col customWidth="1" min="8" max="8" width="7.63"/>
    <col customWidth="1" min="9" max="9" width="6.75"/>
    <col customWidth="1" min="10" max="10" width="8.63"/>
    <col customWidth="1" min="11" max="12" width="11.0"/>
  </cols>
  <sheetData>
    <row r="1" ht="30.75" customHeight="1">
      <c r="A1" s="1" t="s">
        <v>2</v>
      </c>
    </row>
    <row r="2" ht="15.0" customHeight="1">
      <c r="A2" s="6" t="s">
        <v>3</v>
      </c>
      <c r="B2" s="6" t="s">
        <v>4</v>
      </c>
      <c r="C2" s="6" t="s">
        <v>5</v>
      </c>
      <c r="D2" s="6" t="s">
        <v>6</v>
      </c>
      <c r="E2" s="6" t="s">
        <v>9</v>
      </c>
      <c r="F2" s="10" t="s">
        <v>10</v>
      </c>
      <c r="G2" s="6" t="s">
        <v>12</v>
      </c>
      <c r="H2" s="6" t="s">
        <v>16</v>
      </c>
      <c r="I2" s="6" t="s">
        <v>17</v>
      </c>
      <c r="J2" s="6" t="s">
        <v>18</v>
      </c>
      <c r="K2" s="11" t="s">
        <v>19</v>
      </c>
      <c r="L2" s="12" t="s">
        <v>20</v>
      </c>
    </row>
    <row r="3" ht="15.0" customHeight="1">
      <c r="A3" s="13" t="s">
        <v>22</v>
      </c>
      <c r="B3" s="13" t="s">
        <v>24</v>
      </c>
      <c r="C3" s="13" t="s">
        <v>26</v>
      </c>
      <c r="D3" s="13">
        <v>130.0</v>
      </c>
      <c r="E3" s="13">
        <v>1417.0</v>
      </c>
      <c r="F3" s="16">
        <f t="shared" ref="F3:F10" si="1">E3/D3</f>
        <v>10.9</v>
      </c>
      <c r="G3" s="13">
        <v>25.0</v>
      </c>
      <c r="H3" s="13" t="s">
        <v>34</v>
      </c>
      <c r="I3" s="13" t="s">
        <v>35</v>
      </c>
      <c r="J3" s="13">
        <v>1.0</v>
      </c>
      <c r="K3" s="20">
        <f>vlookup(J3,Superbowls!$A$2:$B$115,2,FALSE)</f>
        <v>2009</v>
      </c>
      <c r="L3" s="20" t="s">
        <v>36</v>
      </c>
    </row>
    <row r="4" ht="15.0" customHeight="1">
      <c r="A4" s="13" t="s">
        <v>22</v>
      </c>
      <c r="B4" s="13" t="s">
        <v>37</v>
      </c>
      <c r="C4" s="13" t="s">
        <v>38</v>
      </c>
      <c r="D4" s="13">
        <v>255.0</v>
      </c>
      <c r="E4" s="13">
        <v>2490.0</v>
      </c>
      <c r="F4" s="16">
        <f t="shared" si="1"/>
        <v>9.764705882</v>
      </c>
      <c r="G4" s="13">
        <v>40.0</v>
      </c>
      <c r="H4" s="13" t="s">
        <v>41</v>
      </c>
      <c r="I4" s="13" t="s">
        <v>42</v>
      </c>
      <c r="J4" s="13">
        <v>1.0</v>
      </c>
      <c r="K4" s="20">
        <f>vlookup(J4,Superbowls!$A$2:$B$115,2,FALSE)</f>
        <v>2009</v>
      </c>
      <c r="L4" s="20" t="s">
        <v>36</v>
      </c>
    </row>
    <row r="5" ht="15.0" customHeight="1">
      <c r="A5" s="13" t="s">
        <v>22</v>
      </c>
      <c r="B5" s="13" t="s">
        <v>43</v>
      </c>
      <c r="C5" s="13" t="s">
        <v>44</v>
      </c>
      <c r="D5" s="13">
        <v>137.0</v>
      </c>
      <c r="E5" s="13">
        <v>1196.0</v>
      </c>
      <c r="F5" s="16">
        <f t="shared" si="1"/>
        <v>8.729927007</v>
      </c>
      <c r="G5" s="13">
        <v>18.0</v>
      </c>
      <c r="H5" s="13" t="s">
        <v>34</v>
      </c>
      <c r="I5" s="13" t="s">
        <v>35</v>
      </c>
      <c r="J5" s="13">
        <v>1.0</v>
      </c>
      <c r="K5" s="20">
        <f>vlookup(J5,Superbowls!$A$2:$B$115,2,FALSE)</f>
        <v>2009</v>
      </c>
      <c r="L5" s="20" t="s">
        <v>36</v>
      </c>
    </row>
    <row r="6" ht="15.0" customHeight="1">
      <c r="A6" s="13" t="s">
        <v>22</v>
      </c>
      <c r="B6" s="13" t="s">
        <v>48</v>
      </c>
      <c r="C6" s="13" t="s">
        <v>49</v>
      </c>
      <c r="D6" s="13">
        <v>164.0</v>
      </c>
      <c r="E6" s="13">
        <v>2132.0</v>
      </c>
      <c r="F6" s="16">
        <f t="shared" si="1"/>
        <v>13</v>
      </c>
      <c r="G6" s="13">
        <v>43.0</v>
      </c>
      <c r="H6" s="13" t="s">
        <v>47</v>
      </c>
      <c r="I6" s="13" t="s">
        <v>30</v>
      </c>
      <c r="J6" s="13">
        <v>2.0</v>
      </c>
      <c r="K6" s="20">
        <f>vlookup(J6,Superbowls!$A$2:$B$115,2,FALSE)</f>
        <v>2009</v>
      </c>
      <c r="L6" s="20" t="s">
        <v>36</v>
      </c>
    </row>
    <row r="7" ht="15.0" customHeight="1">
      <c r="A7" s="13" t="s">
        <v>22</v>
      </c>
      <c r="B7" s="13" t="s">
        <v>24</v>
      </c>
      <c r="C7" s="13" t="s">
        <v>26</v>
      </c>
      <c r="D7" s="13">
        <v>247.0</v>
      </c>
      <c r="E7" s="13">
        <v>2936.0</v>
      </c>
      <c r="F7" s="16">
        <f t="shared" si="1"/>
        <v>11.88663968</v>
      </c>
      <c r="G7" s="13">
        <v>56.0</v>
      </c>
      <c r="H7" s="13" t="s">
        <v>34</v>
      </c>
      <c r="I7" s="13" t="s">
        <v>35</v>
      </c>
      <c r="J7" s="13">
        <v>3.0</v>
      </c>
      <c r="K7" s="20">
        <f>vlookup(J7,Superbowls!$A$2:$B$115,2,FALSE)</f>
        <v>2009</v>
      </c>
      <c r="L7" s="20" t="s">
        <v>36</v>
      </c>
    </row>
    <row r="8" ht="15.0" customHeight="1">
      <c r="A8" s="13" t="s">
        <v>22</v>
      </c>
      <c r="B8" s="13" t="s">
        <v>55</v>
      </c>
      <c r="C8" s="13" t="s">
        <v>56</v>
      </c>
      <c r="D8" s="13">
        <v>255.0</v>
      </c>
      <c r="E8" s="13">
        <v>2414.0</v>
      </c>
      <c r="F8" s="16">
        <f t="shared" si="1"/>
        <v>9.466666667</v>
      </c>
      <c r="G8" s="13">
        <v>43.0</v>
      </c>
      <c r="H8" s="13" t="s">
        <v>57</v>
      </c>
      <c r="I8" s="13" t="s">
        <v>42</v>
      </c>
      <c r="J8" s="13">
        <v>3.0</v>
      </c>
      <c r="K8" s="20">
        <f>vlookup(J8,Superbowls!$A$2:$B$115,2,FALSE)</f>
        <v>2009</v>
      </c>
      <c r="L8" s="20" t="s">
        <v>36</v>
      </c>
    </row>
    <row r="9" ht="15.0" customHeight="1">
      <c r="A9" s="13" t="s">
        <v>21</v>
      </c>
      <c r="B9" s="13" t="s">
        <v>61</v>
      </c>
      <c r="C9" s="13" t="s">
        <v>21</v>
      </c>
      <c r="D9" s="13">
        <v>97.0</v>
      </c>
      <c r="E9" s="13">
        <v>1205.0</v>
      </c>
      <c r="F9" s="16">
        <f t="shared" si="1"/>
        <v>12.42268041</v>
      </c>
      <c r="G9" s="13">
        <v>19.0</v>
      </c>
      <c r="H9" s="13" t="s">
        <v>62</v>
      </c>
      <c r="I9" s="13" t="s">
        <v>63</v>
      </c>
      <c r="J9" s="13">
        <v>4.0</v>
      </c>
      <c r="K9" s="20">
        <f>vlookup(J9,Superbowls!$A$2:$B$115,2,FALSE)</f>
        <v>2009</v>
      </c>
      <c r="L9" s="20" t="s">
        <v>36</v>
      </c>
    </row>
    <row r="10" ht="15.0" customHeight="1">
      <c r="A10" s="13" t="s">
        <v>22</v>
      </c>
      <c r="B10" s="13" t="s">
        <v>24</v>
      </c>
      <c r="C10" s="13" t="s">
        <v>26</v>
      </c>
      <c r="D10" s="13">
        <v>200.0</v>
      </c>
      <c r="E10" s="13">
        <v>2252.0</v>
      </c>
      <c r="F10" s="16">
        <f t="shared" si="1"/>
        <v>11.26</v>
      </c>
      <c r="G10" s="13">
        <v>46.0</v>
      </c>
      <c r="H10" s="13" t="s">
        <v>34</v>
      </c>
      <c r="I10" s="13" t="s">
        <v>35</v>
      </c>
      <c r="J10" s="13">
        <v>4.0</v>
      </c>
      <c r="K10" s="20">
        <f>vlookup(J10,Superbowls!$A$2:$B$115,2,FALSE)</f>
        <v>2009</v>
      </c>
      <c r="L10" s="20" t="s">
        <v>36</v>
      </c>
    </row>
    <row r="11" ht="15.0" customHeight="1">
      <c r="A11" s="13" t="s">
        <v>22</v>
      </c>
      <c r="B11" s="13" t="s">
        <v>68</v>
      </c>
      <c r="C11" s="13" t="s">
        <v>69</v>
      </c>
      <c r="D11" s="13">
        <v>255.0</v>
      </c>
      <c r="E11" s="13">
        <v>3294.0</v>
      </c>
      <c r="F11" s="25">
        <v>12.9</v>
      </c>
      <c r="G11" s="13">
        <v>68.0</v>
      </c>
      <c r="H11" s="13" t="s">
        <v>70</v>
      </c>
      <c r="I11" s="13" t="s">
        <v>71</v>
      </c>
      <c r="J11" s="20">
        <v>6.0</v>
      </c>
      <c r="K11" s="20">
        <f>vlookup(J11,Superbowls!$A$2:$B$115,2,FALSE)</f>
        <v>2011</v>
      </c>
      <c r="L11" s="20" t="s">
        <v>36</v>
      </c>
    </row>
    <row r="12">
      <c r="A12" s="13" t="s">
        <v>22</v>
      </c>
      <c r="B12" s="13" t="s">
        <v>48</v>
      </c>
      <c r="C12" s="13" t="s">
        <v>49</v>
      </c>
      <c r="D12" s="20">
        <v>188.0</v>
      </c>
      <c r="E12" s="20">
        <v>3554.0</v>
      </c>
      <c r="F12" s="26">
        <v>18.9</v>
      </c>
      <c r="G12" s="20">
        <v>58.0</v>
      </c>
      <c r="H12" s="20" t="s">
        <v>47</v>
      </c>
      <c r="I12" s="20" t="s">
        <v>71</v>
      </c>
      <c r="J12" s="20">
        <v>7.0</v>
      </c>
      <c r="K12" s="20">
        <f>vlookup(J12,Superbowls!$A$2:$B$115,2,FALSE)</f>
        <v>2017</v>
      </c>
      <c r="L12" s="20" t="s">
        <v>36</v>
      </c>
    </row>
    <row r="13">
      <c r="A13" s="20" t="s">
        <v>22</v>
      </c>
      <c r="B13" s="20" t="s">
        <v>74</v>
      </c>
      <c r="C13" s="20" t="s">
        <v>75</v>
      </c>
      <c r="D13" s="20">
        <v>200.0</v>
      </c>
      <c r="E13" s="20">
        <v>895.0</v>
      </c>
      <c r="F13" s="25">
        <v>4.4</v>
      </c>
      <c r="G13" s="20">
        <v>16.0</v>
      </c>
      <c r="H13" s="20" t="s">
        <v>78</v>
      </c>
      <c r="I13" s="20" t="s">
        <v>42</v>
      </c>
      <c r="J13" s="20">
        <v>8.0</v>
      </c>
      <c r="K13" s="20">
        <f>vlookup(J13,Superbowls!$A$2:$B$115,2,FALSE)</f>
        <v>2017</v>
      </c>
      <c r="L13" s="20" t="s">
        <v>36</v>
      </c>
    </row>
    <row r="14">
      <c r="A14" s="20" t="s">
        <v>22</v>
      </c>
      <c r="B14" s="20" t="s">
        <v>68</v>
      </c>
      <c r="C14" s="20" t="s">
        <v>82</v>
      </c>
      <c r="D14" s="20">
        <v>84.0</v>
      </c>
      <c r="E14" s="20">
        <v>685.0</v>
      </c>
      <c r="F14" s="25">
        <v>8.1</v>
      </c>
      <c r="G14" s="20">
        <v>17.0</v>
      </c>
      <c r="H14" s="20" t="s">
        <v>79</v>
      </c>
      <c r="I14" s="20" t="s">
        <v>71</v>
      </c>
      <c r="J14" s="20">
        <v>8.0</v>
      </c>
      <c r="K14" s="20">
        <f>vlookup(J14,Superbowls!$A$2:$B$115,2,FALSE)</f>
        <v>2017</v>
      </c>
      <c r="L14" s="20" t="s">
        <v>36</v>
      </c>
    </row>
    <row r="15">
      <c r="A15" s="20" t="s">
        <v>22</v>
      </c>
      <c r="B15" s="20" t="s">
        <v>87</v>
      </c>
      <c r="C15" s="20" t="s">
        <v>88</v>
      </c>
      <c r="D15" s="20">
        <v>173.0</v>
      </c>
      <c r="E15" s="20">
        <v>2138.0</v>
      </c>
      <c r="F15" s="25">
        <v>12.3</v>
      </c>
      <c r="G15" s="20">
        <v>40.0</v>
      </c>
      <c r="H15" s="20" t="s">
        <v>90</v>
      </c>
      <c r="I15" s="20" t="s">
        <v>30</v>
      </c>
      <c r="J15" s="27">
        <v>9.0</v>
      </c>
      <c r="K15" s="20">
        <f>vlookup(J15,Superbowls!$A$2:$B$115,2,FALSE)</f>
        <v>2017</v>
      </c>
      <c r="L15" s="20" t="s">
        <v>36</v>
      </c>
    </row>
    <row r="16">
      <c r="A16" s="20" t="s">
        <v>22</v>
      </c>
      <c r="B16" s="20" t="s">
        <v>91</v>
      </c>
      <c r="C16" s="20" t="s">
        <v>92</v>
      </c>
      <c r="D16" s="20">
        <v>209.0</v>
      </c>
      <c r="E16" s="20">
        <v>1281.0</v>
      </c>
      <c r="F16" s="25">
        <v>6.1</v>
      </c>
      <c r="G16" s="20">
        <v>15.0</v>
      </c>
      <c r="H16" s="20" t="s">
        <v>93</v>
      </c>
      <c r="I16" s="20" t="s">
        <v>42</v>
      </c>
      <c r="J16" s="27">
        <v>9.0</v>
      </c>
      <c r="K16" s="20">
        <f>vlookup(J16,Superbowls!$A$2:$B$115,2,FALSE)</f>
        <v>2017</v>
      </c>
      <c r="L16" s="20" t="s">
        <v>36</v>
      </c>
    </row>
    <row r="17">
      <c r="A17" s="20" t="s">
        <v>22</v>
      </c>
      <c r="B17" s="20" t="s">
        <v>96</v>
      </c>
      <c r="C17" s="20" t="s">
        <v>98</v>
      </c>
      <c r="D17" s="20">
        <v>120.0</v>
      </c>
      <c r="E17" s="20">
        <v>750.0</v>
      </c>
      <c r="F17" s="25">
        <v>6.2</v>
      </c>
      <c r="G17" s="20">
        <v>25.0</v>
      </c>
      <c r="H17" s="20" t="s">
        <v>101</v>
      </c>
      <c r="I17" s="20" t="s">
        <v>71</v>
      </c>
      <c r="J17" s="27">
        <v>9.0</v>
      </c>
      <c r="K17" s="20">
        <f>vlookup(J17,Superbowls!$A$2:$B$115,2,FALSE)</f>
        <v>2017</v>
      </c>
      <c r="L17" s="20" t="s">
        <v>36</v>
      </c>
    </row>
    <row r="18">
      <c r="A18" s="20" t="s">
        <v>22</v>
      </c>
      <c r="B18" s="20" t="s">
        <v>24</v>
      </c>
      <c r="C18" s="20" t="s">
        <v>26</v>
      </c>
      <c r="D18" s="20">
        <v>165.0</v>
      </c>
      <c r="E18" s="20">
        <v>2174.0</v>
      </c>
      <c r="F18" s="25">
        <v>13.1</v>
      </c>
      <c r="G18" s="20">
        <v>42.0</v>
      </c>
      <c r="H18" s="20" t="s">
        <v>34</v>
      </c>
      <c r="I18" s="20" t="s">
        <v>35</v>
      </c>
      <c r="J18" s="27">
        <v>10.0</v>
      </c>
      <c r="K18" s="20">
        <f>vlookup(J18,Superbowls!$A$2:$B$115,2,FALSE)</f>
        <v>2018</v>
      </c>
      <c r="L18" s="28" t="s">
        <v>36</v>
      </c>
    </row>
    <row r="19">
      <c r="A19" s="20" t="s">
        <v>22</v>
      </c>
      <c r="B19" s="20" t="s">
        <v>55</v>
      </c>
      <c r="C19" s="20" t="s">
        <v>56</v>
      </c>
      <c r="D19" s="20">
        <v>103.0</v>
      </c>
      <c r="E19" s="20">
        <v>831.0</v>
      </c>
      <c r="F19" s="25">
        <v>8.0</v>
      </c>
      <c r="G19" s="20">
        <v>33.0</v>
      </c>
      <c r="H19" s="20" t="s">
        <v>57</v>
      </c>
      <c r="I19" s="20" t="s">
        <v>71</v>
      </c>
      <c r="J19" s="27">
        <v>11.0</v>
      </c>
      <c r="K19" s="20">
        <f>vlookup(J19,Superbowls!$A$2:$B$115,2,FALSE)</f>
        <v>2019</v>
      </c>
      <c r="L19" s="28" t="s">
        <v>36</v>
      </c>
    </row>
    <row r="20">
      <c r="A20" s="20" t="s">
        <v>22</v>
      </c>
      <c r="B20" s="20" t="s">
        <v>105</v>
      </c>
      <c r="C20" s="20" t="s">
        <v>106</v>
      </c>
      <c r="D20" s="20">
        <v>57.0</v>
      </c>
      <c r="E20" s="20">
        <v>533.0</v>
      </c>
      <c r="F20" s="25">
        <v>9.3</v>
      </c>
      <c r="G20" s="20">
        <v>12.0</v>
      </c>
      <c r="H20" s="20" t="s">
        <v>107</v>
      </c>
      <c r="I20" s="20" t="s">
        <v>35</v>
      </c>
      <c r="J20" s="27">
        <v>11.0</v>
      </c>
      <c r="K20" s="20">
        <f>vlookup(J20,Superbowls!$A$2:$B$115,2,FALSE)</f>
        <v>2019</v>
      </c>
      <c r="L20" s="28" t="s">
        <v>36</v>
      </c>
    </row>
    <row r="21">
      <c r="A21" s="20" t="s">
        <v>22</v>
      </c>
      <c r="B21" s="20" t="s">
        <v>108</v>
      </c>
      <c r="C21" s="20" t="s">
        <v>109</v>
      </c>
      <c r="D21" s="20">
        <v>66.0</v>
      </c>
      <c r="E21" s="20">
        <v>453.0</v>
      </c>
      <c r="F21" s="25">
        <v>6.8</v>
      </c>
      <c r="G21" s="20">
        <v>17.0</v>
      </c>
      <c r="H21" s="20" t="s">
        <v>112</v>
      </c>
      <c r="I21" s="20" t="s">
        <v>30</v>
      </c>
      <c r="J21" s="27">
        <v>11.0</v>
      </c>
      <c r="K21" s="20">
        <f>vlookup(J21,Superbowls!$A$2:$B$115,2,FALSE)</f>
        <v>2019</v>
      </c>
      <c r="L21" s="28" t="s">
        <v>36</v>
      </c>
    </row>
    <row r="22">
      <c r="A22" s="20" t="s">
        <v>22</v>
      </c>
      <c r="B22" s="20" t="s">
        <v>96</v>
      </c>
      <c r="C22" s="20" t="s">
        <v>98</v>
      </c>
      <c r="D22" s="20">
        <v>80.0</v>
      </c>
      <c r="E22" s="20">
        <v>482.0</v>
      </c>
      <c r="F22" s="25">
        <v>6.0</v>
      </c>
      <c r="G22" s="20">
        <v>15.0</v>
      </c>
      <c r="H22" s="20" t="s">
        <v>101</v>
      </c>
      <c r="I22" s="20" t="s">
        <v>30</v>
      </c>
      <c r="J22" s="20">
        <v>12.0</v>
      </c>
      <c r="K22" s="20">
        <f>vlookup(J22,Superbowls!$A$2:$B$115,2,FALSE)</f>
        <v>2020</v>
      </c>
      <c r="L22" s="28" t="s">
        <v>36</v>
      </c>
    </row>
    <row r="23">
      <c r="A23" s="20" t="s">
        <v>22</v>
      </c>
      <c r="B23" s="20" t="s">
        <v>116</v>
      </c>
      <c r="C23" s="20" t="s">
        <v>117</v>
      </c>
      <c r="D23" s="20">
        <v>231.0</v>
      </c>
      <c r="E23" s="20">
        <v>1226.0</v>
      </c>
      <c r="F23" s="25">
        <v>5.3</v>
      </c>
      <c r="G23" s="20">
        <v>17.0</v>
      </c>
      <c r="H23" s="20" t="s">
        <v>101</v>
      </c>
      <c r="I23" s="20" t="s">
        <v>30</v>
      </c>
      <c r="J23" s="20">
        <v>12.0</v>
      </c>
      <c r="K23" s="20">
        <f>vlookup(J23,Superbowls!$A$2:$B$115,2,FALSE)</f>
        <v>2020</v>
      </c>
      <c r="L23" s="28" t="s">
        <v>36</v>
      </c>
    </row>
    <row r="24">
      <c r="A24" s="20" t="s">
        <v>22</v>
      </c>
      <c r="B24" s="20" t="s">
        <v>118</v>
      </c>
      <c r="C24" s="20" t="s">
        <v>119</v>
      </c>
      <c r="D24" s="20">
        <v>79.0</v>
      </c>
      <c r="E24" s="20">
        <v>506.0</v>
      </c>
      <c r="F24" s="25">
        <v>6.4</v>
      </c>
      <c r="G24" s="20">
        <v>21.0</v>
      </c>
      <c r="H24" s="20" t="s">
        <v>121</v>
      </c>
      <c r="I24" s="20" t="s">
        <v>63</v>
      </c>
      <c r="J24" s="20">
        <v>12.0</v>
      </c>
      <c r="K24" s="20">
        <f>vlookup(J24,Superbowls!$A$2:$B$115,2,FALSE)</f>
        <v>2020</v>
      </c>
      <c r="L24" s="28" t="s">
        <v>36</v>
      </c>
    </row>
    <row r="25">
      <c r="A25" s="20" t="s">
        <v>21</v>
      </c>
      <c r="B25" s="20" t="s">
        <v>39</v>
      </c>
      <c r="C25" s="20" t="s">
        <v>40</v>
      </c>
      <c r="D25" s="20">
        <v>15.0</v>
      </c>
      <c r="E25" s="20">
        <v>71.0</v>
      </c>
      <c r="F25" s="25">
        <v>4.7</v>
      </c>
      <c r="G25" s="20">
        <v>0.0</v>
      </c>
      <c r="H25" s="20" t="s">
        <v>34</v>
      </c>
      <c r="I25" s="20" t="s">
        <v>30</v>
      </c>
      <c r="J25" s="20">
        <v>13.0</v>
      </c>
      <c r="K25" s="20">
        <f>vlookup(J25,Superbowls!$A$2:$B$115,2,FALSE)</f>
        <v>2021</v>
      </c>
      <c r="L25" s="28" t="s">
        <v>36</v>
      </c>
    </row>
    <row r="26">
      <c r="A26" s="20" t="s">
        <v>22</v>
      </c>
      <c r="B26" s="20" t="s">
        <v>24</v>
      </c>
      <c r="C26" s="20" t="s">
        <v>26</v>
      </c>
      <c r="D26" s="20">
        <v>255.0</v>
      </c>
      <c r="E26" s="20">
        <v>4081.0</v>
      </c>
      <c r="F26" s="25">
        <v>16.0</v>
      </c>
      <c r="G26" s="20">
        <v>70.0</v>
      </c>
      <c r="H26" s="20" t="s">
        <v>34</v>
      </c>
      <c r="I26" s="20" t="s">
        <v>30</v>
      </c>
      <c r="J26" s="20">
        <v>13.0</v>
      </c>
      <c r="K26" s="20">
        <f>vlookup(J26,Superbowls!$A$2:$B$115,2,FALSE)</f>
        <v>2021</v>
      </c>
      <c r="L26" s="28" t="s">
        <v>36</v>
      </c>
    </row>
    <row r="27">
      <c r="A27" s="20" t="s">
        <v>22</v>
      </c>
      <c r="B27" s="20" t="s">
        <v>43</v>
      </c>
      <c r="C27" s="20" t="s">
        <v>44</v>
      </c>
      <c r="D27" s="20">
        <v>44.0</v>
      </c>
      <c r="E27" s="20">
        <v>439.0</v>
      </c>
      <c r="F27" s="25">
        <v>9.9</v>
      </c>
      <c r="G27" s="20">
        <v>13.0</v>
      </c>
      <c r="H27" s="20" t="s">
        <v>34</v>
      </c>
      <c r="I27" s="20" t="s">
        <v>30</v>
      </c>
      <c r="J27" s="20">
        <v>13.0</v>
      </c>
      <c r="K27" s="20">
        <f>vlookup(J27,Superbowls!$A$2:$B$115,2,FALSE)</f>
        <v>2021</v>
      </c>
      <c r="L27" s="28" t="s">
        <v>36</v>
      </c>
    </row>
    <row r="28">
      <c r="A28" s="20" t="s">
        <v>21</v>
      </c>
      <c r="B28" s="20" t="s">
        <v>61</v>
      </c>
      <c r="C28" s="20" t="s">
        <v>21</v>
      </c>
      <c r="D28" s="20">
        <v>255.0</v>
      </c>
      <c r="E28" s="20">
        <v>2026.0</v>
      </c>
      <c r="F28" s="25">
        <v>7.9</v>
      </c>
      <c r="G28" s="20">
        <v>45.0</v>
      </c>
      <c r="H28" s="20" t="s">
        <v>62</v>
      </c>
      <c r="I28" s="20" t="s">
        <v>42</v>
      </c>
      <c r="J28" s="20">
        <v>13.0</v>
      </c>
      <c r="K28" s="20">
        <f>vlookup(J28,Superbowls!$A$2:$B$115,2,FALSE)</f>
        <v>2021</v>
      </c>
      <c r="L28" s="28" t="s">
        <v>36</v>
      </c>
    </row>
    <row r="29">
      <c r="A29" s="20" t="s">
        <v>22</v>
      </c>
      <c r="B29" s="20" t="s">
        <v>55</v>
      </c>
      <c r="C29" s="20" t="s">
        <v>56</v>
      </c>
      <c r="D29" s="20">
        <v>140.0</v>
      </c>
      <c r="E29" s="20">
        <v>1653.0</v>
      </c>
      <c r="F29" s="25">
        <v>11.8</v>
      </c>
      <c r="G29" s="20">
        <v>34.0</v>
      </c>
      <c r="H29" s="20" t="s">
        <v>57</v>
      </c>
      <c r="I29" s="20" t="s">
        <v>71</v>
      </c>
      <c r="J29" s="20">
        <v>14.0</v>
      </c>
      <c r="K29" s="20">
        <f>vlookup(J29,Superbowls!$A$2:$B$115,2,FALSE)</f>
        <v>2022</v>
      </c>
      <c r="L29" s="28" t="s">
        <v>36</v>
      </c>
    </row>
    <row r="30">
      <c r="A30" s="20" t="s">
        <v>22</v>
      </c>
      <c r="B30" s="20" t="s">
        <v>136</v>
      </c>
      <c r="C30" s="20" t="s">
        <v>137</v>
      </c>
      <c r="D30" s="20">
        <v>97.0</v>
      </c>
      <c r="E30" s="20">
        <v>627.0</v>
      </c>
      <c r="F30" s="25">
        <v>6.4</v>
      </c>
      <c r="G30" s="20">
        <v>17.0</v>
      </c>
      <c r="H30" s="20" t="s">
        <v>107</v>
      </c>
      <c r="I30" s="20" t="s">
        <v>30</v>
      </c>
      <c r="J30" s="20">
        <v>14.0</v>
      </c>
      <c r="K30" s="20">
        <f>vlookup(J30,Superbowls!$A$2:$B$115,2,FALSE)</f>
        <v>2022</v>
      </c>
      <c r="L30" s="28" t="s">
        <v>36</v>
      </c>
    </row>
    <row r="31">
      <c r="A31" s="20" t="s">
        <v>22</v>
      </c>
      <c r="B31" s="20" t="s">
        <v>68</v>
      </c>
      <c r="C31" s="20" t="s">
        <v>69</v>
      </c>
      <c r="D31" s="20">
        <v>132.0</v>
      </c>
      <c r="E31" s="20">
        <v>1817.0</v>
      </c>
      <c r="F31" s="25">
        <v>13.7</v>
      </c>
      <c r="G31" s="20">
        <v>28.0</v>
      </c>
      <c r="H31" s="20" t="s">
        <v>70</v>
      </c>
      <c r="I31" s="20" t="s">
        <v>30</v>
      </c>
      <c r="J31" s="20">
        <v>15.0</v>
      </c>
      <c r="K31" s="20">
        <f>vlookup(J31,Superbowls!$A$2:$B$115,2,FALSE)</f>
        <v>2023</v>
      </c>
      <c r="L31" s="28" t="s">
        <v>36</v>
      </c>
    </row>
    <row r="32">
      <c r="A32" s="20" t="s">
        <v>22</v>
      </c>
      <c r="B32" s="20" t="s">
        <v>48</v>
      </c>
      <c r="C32" s="20" t="s">
        <v>49</v>
      </c>
      <c r="D32" s="20">
        <v>125.0</v>
      </c>
      <c r="E32" s="20">
        <v>1584.0</v>
      </c>
      <c r="F32" s="25">
        <v>12.6</v>
      </c>
      <c r="G32" s="20">
        <v>27.0</v>
      </c>
      <c r="H32" s="20" t="s">
        <v>47</v>
      </c>
      <c r="I32" s="20" t="s">
        <v>42</v>
      </c>
      <c r="J32" s="20">
        <v>15.0</v>
      </c>
      <c r="K32" s="20">
        <f>vlookup(J32,Superbowls!$A$2:$B$115,2,FALSE)</f>
        <v>2023</v>
      </c>
      <c r="L32" s="28" t="s">
        <v>36</v>
      </c>
    </row>
    <row r="33">
      <c r="A33" s="20" t="s">
        <v>22</v>
      </c>
      <c r="B33" s="20" t="s">
        <v>151</v>
      </c>
      <c r="C33" s="20" t="s">
        <v>152</v>
      </c>
      <c r="D33" s="20">
        <v>49.0</v>
      </c>
      <c r="E33" s="20">
        <v>232.0</v>
      </c>
      <c r="F33" s="25">
        <v>4.7</v>
      </c>
      <c r="G33" s="20">
        <v>9.0</v>
      </c>
      <c r="H33" s="20" t="s">
        <v>47</v>
      </c>
      <c r="I33" s="20" t="s">
        <v>42</v>
      </c>
      <c r="J33" s="20">
        <v>15.0</v>
      </c>
      <c r="K33" s="20">
        <f>vlookup(J33,Superbowls!$A$2:$B$115,2,FALSE)</f>
        <v>2023</v>
      </c>
      <c r="L33" s="28" t="s">
        <v>36</v>
      </c>
    </row>
    <row r="34">
      <c r="A34" s="20" t="s">
        <v>21</v>
      </c>
      <c r="B34" s="20" t="s">
        <v>45</v>
      </c>
      <c r="C34" s="20" t="s">
        <v>46</v>
      </c>
      <c r="D34" s="20">
        <v>87.0</v>
      </c>
      <c r="E34" s="20">
        <v>449.0</v>
      </c>
      <c r="F34" s="25">
        <v>5.1</v>
      </c>
      <c r="G34" s="20">
        <v>8.0</v>
      </c>
      <c r="H34" s="20" t="s">
        <v>47</v>
      </c>
      <c r="I34" s="20" t="s">
        <v>42</v>
      </c>
      <c r="J34" s="20">
        <v>15.0</v>
      </c>
      <c r="K34" s="20">
        <f>vlookup(J34,Superbowls!$A$2:$B$115,2,FALSE)</f>
        <v>2023</v>
      </c>
      <c r="L34" s="28" t="s">
        <v>36</v>
      </c>
    </row>
    <row r="35">
      <c r="A35" s="20" t="s">
        <v>22</v>
      </c>
      <c r="B35" s="20" t="s">
        <v>108</v>
      </c>
      <c r="C35" s="20" t="s">
        <v>109</v>
      </c>
      <c r="D35" s="20">
        <v>64.0</v>
      </c>
      <c r="E35" s="20">
        <v>649.0</v>
      </c>
      <c r="F35" s="25">
        <v>10.1</v>
      </c>
      <c r="G35" s="20">
        <v>8.0</v>
      </c>
      <c r="H35" s="20" t="s">
        <v>112</v>
      </c>
      <c r="I35" s="20" t="s">
        <v>35</v>
      </c>
      <c r="J35" s="20">
        <v>15.0</v>
      </c>
      <c r="K35" s="20">
        <f>vlookup(J35,Superbowls!$A$2:$B$115,2,FALSE)</f>
        <v>2023</v>
      </c>
      <c r="L35" s="28" t="s">
        <v>36</v>
      </c>
    </row>
    <row r="36">
      <c r="A36" s="20" t="s">
        <v>21</v>
      </c>
      <c r="B36" s="20" t="s">
        <v>157</v>
      </c>
      <c r="C36" s="20" t="s">
        <v>158</v>
      </c>
      <c r="D36" s="20">
        <v>90.0</v>
      </c>
      <c r="E36" s="20">
        <v>544.0</v>
      </c>
      <c r="F36" s="25">
        <v>6.0</v>
      </c>
      <c r="G36" s="20">
        <v>9.0</v>
      </c>
      <c r="H36" s="20" t="s">
        <v>112</v>
      </c>
      <c r="I36" s="20" t="s">
        <v>35</v>
      </c>
      <c r="J36" s="20">
        <v>15.0</v>
      </c>
      <c r="K36" s="20">
        <f>vlookup(J36,Superbowls!$A$2:$B$115,2,FALSE)</f>
        <v>2023</v>
      </c>
      <c r="L36" s="28" t="s">
        <v>36</v>
      </c>
    </row>
    <row r="37">
      <c r="A37" s="20" t="s">
        <v>22</v>
      </c>
      <c r="B37" s="20" t="s">
        <v>116</v>
      </c>
      <c r="C37" s="20" t="s">
        <v>117</v>
      </c>
      <c r="D37" s="20">
        <v>231.0</v>
      </c>
      <c r="E37" s="20">
        <v>1349.0</v>
      </c>
      <c r="F37" s="25">
        <v>5.8</v>
      </c>
      <c r="G37" s="20">
        <v>24.0</v>
      </c>
      <c r="H37" s="20" t="s">
        <v>161</v>
      </c>
      <c r="I37" s="20" t="s">
        <v>35</v>
      </c>
      <c r="J37" s="20">
        <v>15.0</v>
      </c>
      <c r="K37" s="20">
        <f>vlookup(J37,Superbowls!$A$2:$B$115,2,FALSE)</f>
        <v>2023</v>
      </c>
      <c r="L37" s="28" t="s">
        <v>36</v>
      </c>
    </row>
    <row r="38">
      <c r="A38" s="20" t="s">
        <v>21</v>
      </c>
      <c r="B38" s="20" t="s">
        <v>80</v>
      </c>
      <c r="C38" s="20" t="s">
        <v>21</v>
      </c>
      <c r="D38" s="20">
        <v>40.0</v>
      </c>
      <c r="E38" s="20">
        <v>170.0</v>
      </c>
      <c r="F38" s="25">
        <v>4.2</v>
      </c>
      <c r="G38" s="20">
        <v>1.0</v>
      </c>
      <c r="H38" s="20" t="s">
        <v>81</v>
      </c>
      <c r="I38" s="20" t="s">
        <v>30</v>
      </c>
      <c r="J38" s="20">
        <v>16.0</v>
      </c>
      <c r="K38" s="28">
        <v>2024.0</v>
      </c>
      <c r="L38" s="28" t="s">
        <v>36</v>
      </c>
    </row>
    <row r="39">
      <c r="A39" s="20" t="s">
        <v>22</v>
      </c>
      <c r="B39" s="20" t="s">
        <v>96</v>
      </c>
      <c r="C39" s="20" t="s">
        <v>165</v>
      </c>
      <c r="D39" s="20">
        <v>184.0</v>
      </c>
      <c r="E39" s="20">
        <v>1984.0</v>
      </c>
      <c r="F39" s="25">
        <v>10.7</v>
      </c>
      <c r="G39" s="20">
        <v>51.0</v>
      </c>
      <c r="H39" s="20" t="s">
        <v>81</v>
      </c>
      <c r="I39" s="20" t="s">
        <v>30</v>
      </c>
      <c r="J39" s="20">
        <v>16.0</v>
      </c>
      <c r="K39" s="28">
        <v>2024.0</v>
      </c>
      <c r="L39" s="28" t="s">
        <v>36</v>
      </c>
    </row>
    <row r="40">
      <c r="A40" s="20" t="s">
        <v>22</v>
      </c>
      <c r="B40" s="20" t="s">
        <v>166</v>
      </c>
      <c r="C40" s="20" t="s">
        <v>167</v>
      </c>
      <c r="D40" s="20">
        <v>97.0</v>
      </c>
      <c r="E40" s="20">
        <v>439.0</v>
      </c>
      <c r="F40" s="25">
        <v>4.5</v>
      </c>
      <c r="G40" s="20">
        <v>14.0</v>
      </c>
      <c r="H40" s="20" t="s">
        <v>102</v>
      </c>
      <c r="I40" s="20" t="s">
        <v>63</v>
      </c>
      <c r="J40" s="20">
        <v>16.0</v>
      </c>
      <c r="K40" s="28">
        <v>2024.0</v>
      </c>
      <c r="L40" s="28" t="s">
        <v>36</v>
      </c>
    </row>
    <row r="41">
      <c r="A41" s="20" t="s">
        <v>21</v>
      </c>
      <c r="B41" s="20" t="s">
        <v>169</v>
      </c>
      <c r="C41" s="20" t="s">
        <v>132</v>
      </c>
      <c r="D41" s="20">
        <v>44.0</v>
      </c>
      <c r="E41" s="20">
        <v>286.0</v>
      </c>
      <c r="F41" s="25">
        <v>6.5</v>
      </c>
      <c r="G41" s="20">
        <v>8.0</v>
      </c>
      <c r="H41" s="20" t="s">
        <v>101</v>
      </c>
      <c r="I41" s="20" t="s">
        <v>35</v>
      </c>
      <c r="J41" s="20">
        <v>16.0</v>
      </c>
      <c r="K41" s="28">
        <v>2024.0</v>
      </c>
      <c r="L41" s="28" t="s">
        <v>36</v>
      </c>
    </row>
    <row r="42">
      <c r="A42" s="20" t="s">
        <v>22</v>
      </c>
      <c r="B42" s="20" t="s">
        <v>96</v>
      </c>
      <c r="C42" s="20" t="s">
        <v>98</v>
      </c>
      <c r="D42" s="20">
        <v>91.0</v>
      </c>
      <c r="E42" s="20">
        <v>438.0</v>
      </c>
      <c r="F42" s="25">
        <v>4.8</v>
      </c>
      <c r="G42" s="20">
        <v>8.0</v>
      </c>
      <c r="H42" s="20" t="s">
        <v>101</v>
      </c>
      <c r="I42" s="20" t="s">
        <v>35</v>
      </c>
      <c r="J42" s="20">
        <v>16.0</v>
      </c>
      <c r="K42" s="28">
        <v>2024.0</v>
      </c>
      <c r="L42" s="28" t="s">
        <v>36</v>
      </c>
    </row>
    <row r="43">
      <c r="A43" s="20" t="s">
        <v>22</v>
      </c>
      <c r="B43" s="20" t="s">
        <v>170</v>
      </c>
      <c r="C43" s="20" t="s">
        <v>172</v>
      </c>
      <c r="D43" s="20">
        <v>26.0</v>
      </c>
      <c r="E43" s="20">
        <v>217.0</v>
      </c>
      <c r="F43" s="25">
        <v>8.3</v>
      </c>
      <c r="G43" s="20">
        <v>2.0</v>
      </c>
      <c r="H43" s="20" t="s">
        <v>101</v>
      </c>
      <c r="I43" s="20" t="s">
        <v>35</v>
      </c>
      <c r="J43" s="20">
        <v>16.0</v>
      </c>
      <c r="K43" s="28">
        <v>2024.0</v>
      </c>
      <c r="L43" s="28" t="s">
        <v>36</v>
      </c>
    </row>
    <row r="44">
      <c r="A44" s="20" t="s">
        <v>22</v>
      </c>
      <c r="B44" s="20" t="s">
        <v>68</v>
      </c>
      <c r="C44" s="20" t="s">
        <v>174</v>
      </c>
      <c r="D44" s="20">
        <v>115.0</v>
      </c>
      <c r="E44" s="20">
        <v>980.0</v>
      </c>
      <c r="F44" s="25">
        <v>8.5</v>
      </c>
      <c r="G44" s="20">
        <v>23.0</v>
      </c>
      <c r="H44" s="20" t="s">
        <v>89</v>
      </c>
      <c r="I44" s="20" t="s">
        <v>175</v>
      </c>
      <c r="J44" s="20">
        <v>16.0</v>
      </c>
      <c r="K44" s="28">
        <v>2024.0</v>
      </c>
      <c r="L44" s="28" t="s">
        <v>36</v>
      </c>
    </row>
    <row r="45">
      <c r="A45" s="20" t="s">
        <v>22</v>
      </c>
      <c r="B45" s="20" t="s">
        <v>176</v>
      </c>
      <c r="C45" s="20" t="s">
        <v>177</v>
      </c>
      <c r="D45" s="20">
        <v>77.0</v>
      </c>
      <c r="E45" s="20">
        <v>485.0</v>
      </c>
      <c r="F45" s="25">
        <v>6.2</v>
      </c>
      <c r="G45" s="20">
        <v>12.0</v>
      </c>
      <c r="H45" s="20" t="s">
        <v>89</v>
      </c>
      <c r="I45" s="20" t="s">
        <v>175</v>
      </c>
      <c r="J45" s="20">
        <v>16.0</v>
      </c>
      <c r="K45" s="28">
        <v>2024.0</v>
      </c>
      <c r="L45" s="28" t="s">
        <v>36</v>
      </c>
    </row>
    <row r="46">
      <c r="A46" s="20" t="s">
        <v>22</v>
      </c>
      <c r="B46" s="20" t="s">
        <v>178</v>
      </c>
      <c r="C46" s="20" t="s">
        <v>179</v>
      </c>
      <c r="D46" s="20">
        <v>225.0</v>
      </c>
      <c r="E46" s="20">
        <v>1409.0</v>
      </c>
      <c r="F46" s="25">
        <v>6.2</v>
      </c>
      <c r="G46" s="20">
        <v>22.0</v>
      </c>
      <c r="H46" s="20" t="s">
        <v>145</v>
      </c>
      <c r="I46" s="20" t="s">
        <v>42</v>
      </c>
      <c r="J46" s="20">
        <v>16.0</v>
      </c>
      <c r="K46" s="28">
        <v>2024.0</v>
      </c>
      <c r="L46" s="28" t="s">
        <v>36</v>
      </c>
    </row>
    <row r="47">
      <c r="A47" s="20" t="s">
        <v>22</v>
      </c>
      <c r="B47" s="20" t="s">
        <v>180</v>
      </c>
      <c r="C47" s="20" t="s">
        <v>181</v>
      </c>
      <c r="D47" s="20">
        <v>46.0</v>
      </c>
      <c r="E47" s="20">
        <v>115.0</v>
      </c>
      <c r="F47" s="25">
        <v>2.5</v>
      </c>
      <c r="G47" s="20">
        <v>0.0</v>
      </c>
      <c r="H47" s="20" t="s">
        <v>145</v>
      </c>
      <c r="I47" s="20" t="s">
        <v>42</v>
      </c>
      <c r="J47" s="20">
        <v>16.0</v>
      </c>
      <c r="K47" s="28">
        <v>2024.0</v>
      </c>
      <c r="L47" s="28" t="s">
        <v>36</v>
      </c>
    </row>
    <row r="48">
      <c r="A48" s="20" t="s">
        <v>21</v>
      </c>
      <c r="B48" s="20" t="s">
        <v>23</v>
      </c>
      <c r="C48" s="20" t="s">
        <v>25</v>
      </c>
      <c r="D48" s="20">
        <v>73.0</v>
      </c>
      <c r="E48" s="20">
        <v>302.0</v>
      </c>
      <c r="F48" s="25">
        <v>4.1</v>
      </c>
      <c r="G48" s="20">
        <v>8.0</v>
      </c>
      <c r="H48" s="20" t="s">
        <v>29</v>
      </c>
      <c r="I48" s="20" t="s">
        <v>35</v>
      </c>
      <c r="J48" s="20">
        <v>17.0</v>
      </c>
      <c r="K48" s="28">
        <v>2025.0</v>
      </c>
      <c r="L48" s="28" t="s">
        <v>36</v>
      </c>
    </row>
    <row r="49">
      <c r="A49" s="20" t="s">
        <v>22</v>
      </c>
      <c r="B49" s="20" t="s">
        <v>37</v>
      </c>
      <c r="C49" s="20" t="s">
        <v>184</v>
      </c>
      <c r="D49" s="20">
        <v>10.0</v>
      </c>
      <c r="E49" s="20">
        <v>49.0</v>
      </c>
      <c r="F49" s="25">
        <v>4.9</v>
      </c>
      <c r="G49" s="20">
        <v>2.0</v>
      </c>
      <c r="H49" s="20" t="s">
        <v>29</v>
      </c>
      <c r="I49" s="20" t="s">
        <v>35</v>
      </c>
      <c r="J49" s="20">
        <v>17.0</v>
      </c>
      <c r="K49" s="28">
        <v>2025.0</v>
      </c>
      <c r="L49" s="28" t="s">
        <v>36</v>
      </c>
    </row>
    <row r="50">
      <c r="A50" s="20" t="s">
        <v>31</v>
      </c>
      <c r="B50" s="20" t="s">
        <v>50</v>
      </c>
      <c r="C50" s="20" t="s">
        <v>51</v>
      </c>
      <c r="D50" s="20">
        <v>3.0</v>
      </c>
      <c r="E50" s="20">
        <v>30.0</v>
      </c>
      <c r="F50" s="25">
        <v>10.0</v>
      </c>
      <c r="G50" s="20">
        <v>0.0</v>
      </c>
      <c r="H50" s="20" t="s">
        <v>29</v>
      </c>
      <c r="I50" s="20" t="s">
        <v>35</v>
      </c>
      <c r="J50" s="20">
        <v>17.0</v>
      </c>
      <c r="K50" s="28">
        <v>2025.0</v>
      </c>
      <c r="L50" s="28" t="s">
        <v>36</v>
      </c>
    </row>
    <row r="51">
      <c r="A51" s="20" t="s">
        <v>21</v>
      </c>
      <c r="B51" s="20" t="s">
        <v>80</v>
      </c>
      <c r="C51" s="20" t="s">
        <v>21</v>
      </c>
      <c r="D51" s="20">
        <v>5.0</v>
      </c>
      <c r="E51" s="20">
        <v>0.0</v>
      </c>
      <c r="F51" s="25">
        <v>0.0</v>
      </c>
      <c r="G51" s="20">
        <v>0.0</v>
      </c>
      <c r="H51" s="20" t="s">
        <v>81</v>
      </c>
      <c r="I51" s="20" t="s">
        <v>187</v>
      </c>
      <c r="J51" s="20">
        <v>17.0</v>
      </c>
      <c r="K51" s="28">
        <v>2025.0</v>
      </c>
      <c r="L51" s="28" t="s">
        <v>36</v>
      </c>
    </row>
    <row r="52">
      <c r="A52" s="20" t="s">
        <v>22</v>
      </c>
      <c r="B52" s="20" t="s">
        <v>96</v>
      </c>
      <c r="C52" s="20" t="s">
        <v>165</v>
      </c>
      <c r="D52" s="20">
        <v>83.0</v>
      </c>
      <c r="E52" s="20">
        <v>353.0</v>
      </c>
      <c r="F52" s="25">
        <v>4.2</v>
      </c>
      <c r="G52" s="20">
        <v>11.0</v>
      </c>
      <c r="H52" s="20" t="s">
        <v>81</v>
      </c>
      <c r="I52" s="20" t="s">
        <v>187</v>
      </c>
      <c r="J52" s="20">
        <v>17.0</v>
      </c>
      <c r="K52" s="28">
        <v>2025.0</v>
      </c>
      <c r="L52" s="28" t="s">
        <v>36</v>
      </c>
    </row>
    <row r="53">
      <c r="A53" s="20" t="s">
        <v>22</v>
      </c>
      <c r="B53" s="20" t="s">
        <v>192</v>
      </c>
      <c r="C53" s="20" t="s">
        <v>194</v>
      </c>
      <c r="D53" s="20">
        <v>3.0</v>
      </c>
      <c r="E53" s="20">
        <v>0.0</v>
      </c>
      <c r="F53" s="25">
        <v>0.0</v>
      </c>
      <c r="G53" s="20">
        <v>0.0</v>
      </c>
      <c r="H53" s="20" t="s">
        <v>81</v>
      </c>
      <c r="I53" s="20" t="s">
        <v>187</v>
      </c>
      <c r="J53" s="20">
        <v>17.0</v>
      </c>
      <c r="K53" s="28">
        <v>2025.0</v>
      </c>
      <c r="L53" s="28" t="s">
        <v>36</v>
      </c>
    </row>
    <row r="54">
      <c r="A54" s="20" t="s">
        <v>31</v>
      </c>
      <c r="B54" s="20" t="s">
        <v>195</v>
      </c>
      <c r="C54" s="20" t="s">
        <v>196</v>
      </c>
      <c r="D54" s="20">
        <v>1.0</v>
      </c>
      <c r="E54" s="20">
        <v>5.0</v>
      </c>
      <c r="F54" s="25">
        <v>5.0</v>
      </c>
      <c r="G54" s="20">
        <v>0.0</v>
      </c>
      <c r="H54" s="20" t="s">
        <v>81</v>
      </c>
      <c r="I54" s="20" t="s">
        <v>187</v>
      </c>
      <c r="J54" s="20">
        <v>17.0</v>
      </c>
      <c r="K54" s="28">
        <v>2025.0</v>
      </c>
      <c r="L54" s="28" t="s">
        <v>36</v>
      </c>
    </row>
    <row r="55">
      <c r="A55" s="20" t="s">
        <v>21</v>
      </c>
      <c r="B55" s="20" t="s">
        <v>80</v>
      </c>
      <c r="C55" s="20" t="s">
        <v>21</v>
      </c>
      <c r="D55" s="20">
        <v>23.0</v>
      </c>
      <c r="E55" s="20">
        <v>133.0</v>
      </c>
      <c r="F55" s="25">
        <v>5.7</v>
      </c>
      <c r="G55" s="20">
        <v>1.0</v>
      </c>
      <c r="H55" s="20" t="s">
        <v>81</v>
      </c>
      <c r="I55" s="20" t="s">
        <v>187</v>
      </c>
      <c r="J55" s="20">
        <v>18.0</v>
      </c>
      <c r="K55" s="28">
        <v>2025.0</v>
      </c>
      <c r="L55" s="28" t="s">
        <v>36</v>
      </c>
    </row>
    <row r="56">
      <c r="A56" s="20" t="s">
        <v>22</v>
      </c>
      <c r="B56" s="20" t="s">
        <v>96</v>
      </c>
      <c r="C56" s="20" t="s">
        <v>165</v>
      </c>
      <c r="D56" s="20">
        <v>36.0</v>
      </c>
      <c r="E56" s="20">
        <v>95.0</v>
      </c>
      <c r="F56" s="25">
        <v>2.6</v>
      </c>
      <c r="G56" s="20">
        <v>7.0</v>
      </c>
      <c r="H56" s="20" t="s">
        <v>81</v>
      </c>
      <c r="I56" s="20" t="s">
        <v>187</v>
      </c>
      <c r="J56" s="20">
        <v>18.0</v>
      </c>
      <c r="K56" s="28">
        <v>2025.0</v>
      </c>
      <c r="L56" s="28" t="s">
        <v>36</v>
      </c>
    </row>
    <row r="57">
      <c r="A57" s="20" t="s">
        <v>31</v>
      </c>
      <c r="B57" s="20" t="s">
        <v>195</v>
      </c>
      <c r="C57" s="20" t="s">
        <v>196</v>
      </c>
      <c r="D57" s="20">
        <v>6.0</v>
      </c>
      <c r="E57" s="20">
        <v>11.0</v>
      </c>
      <c r="F57" s="25">
        <v>1.8</v>
      </c>
      <c r="G57" s="20">
        <v>0.0</v>
      </c>
      <c r="H57" s="20" t="s">
        <v>81</v>
      </c>
      <c r="I57" s="20" t="s">
        <v>187</v>
      </c>
      <c r="J57" s="20">
        <v>18.0</v>
      </c>
      <c r="K57" s="28">
        <v>2025.0</v>
      </c>
      <c r="L57" s="28" t="s">
        <v>36</v>
      </c>
    </row>
    <row r="58">
      <c r="A58" s="20" t="s">
        <v>21</v>
      </c>
      <c r="B58" s="20" t="s">
        <v>58</v>
      </c>
      <c r="C58" s="20" t="s">
        <v>59</v>
      </c>
      <c r="D58" s="20">
        <v>58.0</v>
      </c>
      <c r="E58" s="20">
        <v>350.0</v>
      </c>
      <c r="F58" s="25">
        <v>6.0</v>
      </c>
      <c r="G58" s="20">
        <v>6.0</v>
      </c>
      <c r="H58" s="20" t="s">
        <v>60</v>
      </c>
      <c r="I58" s="20" t="s">
        <v>35</v>
      </c>
      <c r="J58" s="20">
        <v>18.0</v>
      </c>
      <c r="K58" s="28">
        <v>2025.0</v>
      </c>
      <c r="L58" s="28" t="s">
        <v>36</v>
      </c>
    </row>
    <row r="59">
      <c r="A59" s="20" t="s">
        <v>22</v>
      </c>
      <c r="B59" s="20" t="s">
        <v>82</v>
      </c>
      <c r="C59" s="20" t="s">
        <v>200</v>
      </c>
      <c r="D59" s="20">
        <v>131.0</v>
      </c>
      <c r="E59" s="20">
        <v>687.0</v>
      </c>
      <c r="F59" s="25">
        <v>5.2</v>
      </c>
      <c r="G59" s="20">
        <v>13.0</v>
      </c>
      <c r="H59" s="20" t="s">
        <v>60</v>
      </c>
      <c r="I59" s="20" t="s">
        <v>35</v>
      </c>
      <c r="J59" s="20">
        <v>18.0</v>
      </c>
      <c r="K59" s="28">
        <v>2025.0</v>
      </c>
      <c r="L59" s="28" t="s">
        <v>36</v>
      </c>
    </row>
    <row r="60">
      <c r="A60" s="20" t="s">
        <v>22</v>
      </c>
      <c r="B60" s="20" t="s">
        <v>201</v>
      </c>
      <c r="C60" s="20" t="s">
        <v>202</v>
      </c>
      <c r="D60" s="20">
        <v>5.0</v>
      </c>
      <c r="E60" s="20">
        <v>0.0</v>
      </c>
      <c r="F60" s="25">
        <v>0.0</v>
      </c>
      <c r="G60" s="20">
        <v>1.0</v>
      </c>
      <c r="H60" s="20" t="s">
        <v>60</v>
      </c>
      <c r="I60" s="20" t="s">
        <v>35</v>
      </c>
      <c r="J60" s="20">
        <v>18.0</v>
      </c>
      <c r="K60" s="28">
        <v>2025.0</v>
      </c>
      <c r="L60" s="28" t="s">
        <v>36</v>
      </c>
    </row>
    <row r="61">
      <c r="A61" s="20" t="s">
        <v>22</v>
      </c>
      <c r="B61" s="20" t="s">
        <v>48</v>
      </c>
      <c r="C61" s="20" t="s">
        <v>49</v>
      </c>
      <c r="D61" s="20">
        <v>281.0</v>
      </c>
      <c r="E61" s="20">
        <v>4482.0</v>
      </c>
      <c r="F61" s="25">
        <v>16.0</v>
      </c>
      <c r="G61" s="20">
        <v>68.0</v>
      </c>
      <c r="H61" s="20" t="s">
        <v>47</v>
      </c>
      <c r="I61" s="20" t="s">
        <v>35</v>
      </c>
      <c r="J61" s="20">
        <v>19.0</v>
      </c>
      <c r="K61" s="28">
        <v>2025.0</v>
      </c>
      <c r="L61" s="28" t="s">
        <v>36</v>
      </c>
    </row>
    <row r="62">
      <c r="A62" s="20" t="s">
        <v>21</v>
      </c>
      <c r="B62" s="20" t="s">
        <v>45</v>
      </c>
      <c r="C62" s="20" t="s">
        <v>46</v>
      </c>
      <c r="D62" s="20">
        <v>66.0</v>
      </c>
      <c r="E62" s="20">
        <v>482.0</v>
      </c>
      <c r="F62" s="25">
        <v>7.3</v>
      </c>
      <c r="G62" s="20">
        <v>8.0</v>
      </c>
      <c r="H62" s="20" t="s">
        <v>47</v>
      </c>
      <c r="I62" s="20" t="s">
        <v>35</v>
      </c>
      <c r="J62" s="20">
        <v>19.0</v>
      </c>
      <c r="K62" s="28">
        <v>2025.0</v>
      </c>
      <c r="L62" s="28" t="s">
        <v>36</v>
      </c>
    </row>
    <row r="63">
      <c r="A63" s="20" t="s">
        <v>22</v>
      </c>
      <c r="B63" s="20" t="s">
        <v>96</v>
      </c>
      <c r="C63" s="20" t="s">
        <v>165</v>
      </c>
      <c r="D63" s="20">
        <v>32.0</v>
      </c>
      <c r="E63" s="20">
        <v>172.0</v>
      </c>
      <c r="F63" s="25">
        <v>5.3</v>
      </c>
      <c r="G63" s="20">
        <v>10.0</v>
      </c>
      <c r="H63" s="20" t="s">
        <v>81</v>
      </c>
      <c r="I63" s="20" t="s">
        <v>187</v>
      </c>
      <c r="J63" s="20">
        <v>19.0</v>
      </c>
      <c r="K63" s="28">
        <v>2025.0</v>
      </c>
      <c r="L63" s="28" t="s">
        <v>36</v>
      </c>
    </row>
    <row r="64">
      <c r="A64" s="20" t="s">
        <v>22</v>
      </c>
      <c r="B64" s="20" t="s">
        <v>105</v>
      </c>
      <c r="C64" s="20" t="s">
        <v>106</v>
      </c>
      <c r="D64" s="20">
        <v>149.0</v>
      </c>
      <c r="E64" s="20">
        <v>732.0</v>
      </c>
      <c r="F64" s="25">
        <v>4.9</v>
      </c>
      <c r="G64" s="20">
        <v>21.0</v>
      </c>
      <c r="H64" s="20" t="s">
        <v>107</v>
      </c>
      <c r="I64" s="20" t="s">
        <v>205</v>
      </c>
      <c r="J64" s="20">
        <v>20.0</v>
      </c>
      <c r="K64" s="28">
        <v>2025.0</v>
      </c>
      <c r="L64" s="28" t="s">
        <v>36</v>
      </c>
    </row>
    <row r="65">
      <c r="A65" s="20" t="s">
        <v>22</v>
      </c>
      <c r="B65" s="20" t="s">
        <v>136</v>
      </c>
      <c r="C65" s="20" t="s">
        <v>137</v>
      </c>
      <c r="D65" s="20">
        <v>111.0</v>
      </c>
      <c r="E65" s="20">
        <v>721.0</v>
      </c>
      <c r="F65" s="25">
        <v>6.4</v>
      </c>
      <c r="G65" s="20">
        <v>9.0</v>
      </c>
      <c r="H65" s="20" t="s">
        <v>107</v>
      </c>
      <c r="I65" s="20" t="s">
        <v>205</v>
      </c>
      <c r="J65" s="20">
        <v>20.0</v>
      </c>
      <c r="K65" s="28">
        <v>2025.0</v>
      </c>
      <c r="L65" s="28" t="s">
        <v>36</v>
      </c>
    </row>
    <row r="66">
      <c r="A66" s="20" t="s">
        <v>21</v>
      </c>
      <c r="B66" s="20" t="s">
        <v>45</v>
      </c>
      <c r="C66" s="20" t="s">
        <v>46</v>
      </c>
      <c r="D66" s="20">
        <v>63.0</v>
      </c>
      <c r="E66" s="20">
        <v>461.0</v>
      </c>
      <c r="F66" s="25">
        <v>7.3</v>
      </c>
      <c r="G66" s="20">
        <v>7.0</v>
      </c>
      <c r="H66" s="20" t="s">
        <v>47</v>
      </c>
      <c r="I66" s="20" t="s">
        <v>30</v>
      </c>
      <c r="J66" s="20">
        <v>20.0</v>
      </c>
      <c r="K66" s="28">
        <v>2025.0</v>
      </c>
      <c r="L66" s="28" t="s">
        <v>36</v>
      </c>
    </row>
    <row r="67">
      <c r="A67" s="20" t="s">
        <v>22</v>
      </c>
      <c r="B67" s="20" t="s">
        <v>48</v>
      </c>
      <c r="C67" s="20" t="s">
        <v>49</v>
      </c>
      <c r="D67" s="20">
        <v>131.0</v>
      </c>
      <c r="E67" s="20">
        <v>1418.0</v>
      </c>
      <c r="F67" s="25">
        <v>10.8</v>
      </c>
      <c r="G67" s="20">
        <v>38.0</v>
      </c>
      <c r="H67" s="20" t="s">
        <v>47</v>
      </c>
      <c r="I67" s="20" t="s">
        <v>30</v>
      </c>
      <c r="J67" s="20">
        <v>20.0</v>
      </c>
      <c r="K67" s="28">
        <v>2025.0</v>
      </c>
      <c r="L67" s="28" t="s">
        <v>36</v>
      </c>
    </row>
    <row r="68">
      <c r="A68" s="20" t="s">
        <v>22</v>
      </c>
      <c r="B68" s="20" t="s">
        <v>118</v>
      </c>
      <c r="C68" s="20" t="s">
        <v>119</v>
      </c>
      <c r="D68" s="20">
        <v>152.0</v>
      </c>
      <c r="E68" s="20">
        <v>2043.0</v>
      </c>
      <c r="F68" s="25">
        <v>13.4</v>
      </c>
      <c r="G68" s="20">
        <v>45.0</v>
      </c>
      <c r="H68" s="20" t="s">
        <v>121</v>
      </c>
      <c r="I68" s="20" t="s">
        <v>30</v>
      </c>
      <c r="J68" s="20">
        <v>21.0</v>
      </c>
      <c r="K68" s="28">
        <v>2026.0</v>
      </c>
      <c r="L68" s="28" t="s">
        <v>36</v>
      </c>
    </row>
    <row r="69">
      <c r="A69" s="20" t="s">
        <v>21</v>
      </c>
      <c r="B69" s="20" t="s">
        <v>197</v>
      </c>
      <c r="C69" s="20" t="s">
        <v>167</v>
      </c>
      <c r="D69" s="20">
        <v>48.0</v>
      </c>
      <c r="E69" s="20">
        <v>319.0</v>
      </c>
      <c r="F69" s="25">
        <v>6.6</v>
      </c>
      <c r="G69" s="20">
        <v>10.0</v>
      </c>
      <c r="H69" s="20" t="s">
        <v>121</v>
      </c>
      <c r="I69" s="20" t="s">
        <v>30</v>
      </c>
      <c r="J69" s="20">
        <v>21.0</v>
      </c>
      <c r="K69" s="28">
        <v>2026.0</v>
      </c>
      <c r="L69" s="28" t="s">
        <v>36</v>
      </c>
    </row>
    <row r="70">
      <c r="A70" s="20" t="s">
        <v>21</v>
      </c>
      <c r="B70" s="20" t="s">
        <v>61</v>
      </c>
      <c r="C70" s="20" t="s">
        <v>21</v>
      </c>
      <c r="D70" s="20">
        <v>111.0</v>
      </c>
      <c r="E70" s="20">
        <v>678.0</v>
      </c>
      <c r="F70" s="25">
        <v>6.1</v>
      </c>
      <c r="G70" s="20">
        <v>20.0</v>
      </c>
      <c r="H70" s="20" t="s">
        <v>62</v>
      </c>
      <c r="I70" s="20" t="s">
        <v>205</v>
      </c>
      <c r="J70" s="20">
        <v>21.0</v>
      </c>
      <c r="K70" s="28">
        <v>2026.0</v>
      </c>
      <c r="L70" s="28" t="s">
        <v>36</v>
      </c>
    </row>
    <row r="71">
      <c r="A71" s="20" t="s">
        <v>22</v>
      </c>
      <c r="B71" s="20" t="s">
        <v>210</v>
      </c>
      <c r="C71" s="20" t="s">
        <v>110</v>
      </c>
      <c r="D71" s="20">
        <v>66.0</v>
      </c>
      <c r="E71" s="20">
        <v>207.0</v>
      </c>
      <c r="F71" s="25">
        <v>3.1</v>
      </c>
      <c r="G71" s="20">
        <v>6.0</v>
      </c>
      <c r="H71" s="20" t="s">
        <v>62</v>
      </c>
      <c r="I71" s="20" t="s">
        <v>205</v>
      </c>
      <c r="J71" s="20">
        <v>21.0</v>
      </c>
      <c r="K71" s="28">
        <v>2026.0</v>
      </c>
      <c r="L71" s="28" t="s">
        <v>36</v>
      </c>
    </row>
    <row r="72">
      <c r="A72" s="20" t="s">
        <v>22</v>
      </c>
      <c r="B72" s="20" t="s">
        <v>211</v>
      </c>
      <c r="C72" s="20" t="s">
        <v>212</v>
      </c>
      <c r="D72" s="20">
        <v>50.0</v>
      </c>
      <c r="E72" s="20">
        <v>210.0</v>
      </c>
      <c r="F72" s="25">
        <v>4.2</v>
      </c>
      <c r="G72" s="20">
        <v>4.0</v>
      </c>
      <c r="H72" s="20" t="s">
        <v>62</v>
      </c>
      <c r="I72" s="20" t="s">
        <v>205</v>
      </c>
      <c r="J72" s="20">
        <v>21.0</v>
      </c>
      <c r="K72" s="28">
        <v>2026.0</v>
      </c>
      <c r="L72" s="28" t="s">
        <v>36</v>
      </c>
    </row>
    <row r="73">
      <c r="A73" s="20"/>
      <c r="B73" s="20"/>
      <c r="C73" s="20"/>
      <c r="D73" s="20"/>
      <c r="E73" s="20"/>
      <c r="F73" s="25"/>
      <c r="G73" s="20"/>
      <c r="H73" s="20"/>
      <c r="I73" s="20"/>
      <c r="J73" s="20"/>
      <c r="K73" s="28"/>
      <c r="L73" s="28"/>
    </row>
    <row r="74">
      <c r="A74" s="20"/>
      <c r="B74" s="20"/>
      <c r="C74" s="20"/>
      <c r="D74" s="20"/>
      <c r="E74" s="20"/>
      <c r="F74" s="25"/>
      <c r="G74" s="20"/>
      <c r="H74" s="20"/>
      <c r="I74" s="20"/>
      <c r="J74" s="20"/>
      <c r="K74" s="28"/>
      <c r="L74" s="28"/>
    </row>
    <row r="75">
      <c r="A75" s="20"/>
      <c r="B75" s="20"/>
      <c r="C75" s="20"/>
      <c r="D75" s="20"/>
      <c r="E75" s="20"/>
      <c r="F75" s="25"/>
      <c r="G75" s="20"/>
      <c r="H75" s="20"/>
      <c r="I75" s="20"/>
      <c r="J75" s="20"/>
      <c r="K75" s="28"/>
      <c r="L75" s="28"/>
    </row>
    <row r="76">
      <c r="A76" s="20"/>
      <c r="B76" s="20"/>
      <c r="C76" s="20"/>
      <c r="D76" s="20"/>
      <c r="E76" s="20"/>
      <c r="F76" s="25"/>
      <c r="G76" s="20"/>
      <c r="H76" s="20"/>
      <c r="I76" s="20"/>
      <c r="J76" s="20"/>
      <c r="K76" s="28"/>
      <c r="L76" s="28"/>
    </row>
    <row r="77">
      <c r="A77" s="20"/>
      <c r="B77" s="20"/>
      <c r="C77" s="20"/>
      <c r="D77" s="20"/>
      <c r="E77" s="20"/>
      <c r="F77" s="25"/>
      <c r="G77" s="20"/>
      <c r="H77" s="20"/>
      <c r="I77" s="20"/>
      <c r="J77" s="20"/>
      <c r="K77" s="28"/>
      <c r="L77" s="28"/>
    </row>
    <row r="78">
      <c r="A78" s="20"/>
      <c r="B78" s="20"/>
      <c r="C78" s="20"/>
      <c r="D78" s="20"/>
      <c r="E78" s="20"/>
      <c r="F78" s="25"/>
      <c r="G78" s="20"/>
      <c r="H78" s="20"/>
      <c r="I78" s="20"/>
      <c r="J78" s="20"/>
      <c r="K78" s="28"/>
      <c r="L78" s="28"/>
    </row>
    <row r="79">
      <c r="A79" s="20"/>
      <c r="B79" s="20"/>
      <c r="C79" s="20"/>
      <c r="D79" s="20"/>
      <c r="E79" s="20"/>
      <c r="F79" s="25"/>
      <c r="G79" s="20"/>
      <c r="H79" s="20"/>
      <c r="I79" s="20"/>
      <c r="J79" s="20"/>
      <c r="K79" s="28"/>
      <c r="L79" s="28"/>
    </row>
    <row r="80">
      <c r="A80" s="20"/>
      <c r="B80" s="20"/>
      <c r="C80" s="20"/>
      <c r="D80" s="20"/>
      <c r="E80" s="20"/>
      <c r="F80" s="25"/>
      <c r="G80" s="20"/>
      <c r="H80" s="20"/>
      <c r="I80" s="20"/>
      <c r="J80" s="20"/>
      <c r="K80" s="28"/>
      <c r="L80" s="28"/>
    </row>
    <row r="81">
      <c r="A81" s="20"/>
      <c r="B81" s="20"/>
      <c r="C81" s="20"/>
      <c r="D81" s="20"/>
      <c r="E81" s="20"/>
      <c r="F81" s="25"/>
      <c r="G81" s="20"/>
      <c r="H81" s="20"/>
      <c r="I81" s="20"/>
      <c r="J81" s="20"/>
      <c r="K81" s="28"/>
      <c r="L81" s="28"/>
    </row>
    <row r="82">
      <c r="A82" s="20"/>
      <c r="B82" s="20"/>
      <c r="C82" s="20"/>
      <c r="D82" s="20"/>
      <c r="E82" s="20"/>
      <c r="F82" s="25"/>
      <c r="G82" s="20"/>
      <c r="H82" s="20"/>
      <c r="I82" s="20"/>
      <c r="J82" s="20"/>
      <c r="K82" s="28"/>
      <c r="L82" s="28"/>
    </row>
    <row r="83">
      <c r="A83" s="20"/>
      <c r="B83" s="20"/>
      <c r="C83" s="20"/>
      <c r="D83" s="20"/>
      <c r="E83" s="20"/>
      <c r="F83" s="25"/>
      <c r="G83" s="20"/>
      <c r="H83" s="20"/>
      <c r="I83" s="20"/>
      <c r="J83" s="20"/>
      <c r="K83" s="28"/>
      <c r="L83" s="28"/>
    </row>
    <row r="84">
      <c r="A84" s="20"/>
      <c r="B84" s="20"/>
      <c r="C84" s="20"/>
      <c r="D84" s="20"/>
      <c r="E84" s="20"/>
      <c r="F84" s="25"/>
      <c r="G84" s="20"/>
      <c r="H84" s="20"/>
      <c r="I84" s="20"/>
      <c r="J84" s="20"/>
      <c r="K84" s="28"/>
      <c r="L84" s="28"/>
    </row>
    <row r="85">
      <c r="A85" s="20"/>
      <c r="B85" s="20"/>
      <c r="C85" s="20"/>
      <c r="D85" s="20"/>
      <c r="E85" s="20"/>
      <c r="F85" s="25"/>
      <c r="G85" s="20"/>
      <c r="H85" s="20"/>
      <c r="I85" s="20"/>
      <c r="J85" s="20"/>
      <c r="K85" s="28"/>
      <c r="L85" s="28"/>
    </row>
    <row r="86">
      <c r="A86" s="20"/>
      <c r="B86" s="20"/>
      <c r="C86" s="20"/>
      <c r="D86" s="20"/>
      <c r="E86" s="20"/>
      <c r="F86" s="25"/>
      <c r="G86" s="20"/>
      <c r="H86" s="20"/>
      <c r="I86" s="20"/>
      <c r="J86" s="20"/>
      <c r="K86" s="28"/>
      <c r="L86" s="28"/>
    </row>
    <row r="87">
      <c r="A87" s="20"/>
      <c r="B87" s="20"/>
      <c r="C87" s="20"/>
      <c r="D87" s="20"/>
      <c r="E87" s="20"/>
      <c r="F87" s="25"/>
      <c r="G87" s="20"/>
      <c r="H87" s="20"/>
      <c r="I87" s="20"/>
      <c r="J87" s="20"/>
      <c r="K87" s="28"/>
      <c r="L87" s="28"/>
    </row>
    <row r="88">
      <c r="A88" s="20"/>
      <c r="B88" s="20"/>
      <c r="C88" s="20"/>
      <c r="D88" s="20"/>
      <c r="E88" s="20"/>
      <c r="F88" s="25"/>
      <c r="G88" s="20"/>
      <c r="H88" s="20"/>
      <c r="I88" s="20"/>
      <c r="J88" s="20"/>
      <c r="K88" s="28"/>
      <c r="L88" s="28"/>
    </row>
    <row r="89">
      <c r="A89" s="20"/>
      <c r="B89" s="20"/>
      <c r="C89" s="20"/>
      <c r="D89" s="20"/>
      <c r="E89" s="20"/>
      <c r="F89" s="25"/>
      <c r="G89" s="20"/>
      <c r="H89" s="20"/>
      <c r="I89" s="20"/>
      <c r="J89" s="20"/>
      <c r="K89" s="28"/>
      <c r="L89" s="28"/>
    </row>
    <row r="90">
      <c r="A90" s="20"/>
      <c r="B90" s="20"/>
      <c r="C90" s="20"/>
      <c r="D90" s="20"/>
      <c r="E90" s="20"/>
      <c r="F90" s="25"/>
      <c r="G90" s="20"/>
      <c r="H90" s="20"/>
      <c r="I90" s="20"/>
      <c r="J90" s="20"/>
      <c r="K90" s="28"/>
      <c r="L90" s="28"/>
    </row>
    <row r="91">
      <c r="A91" s="20"/>
      <c r="B91" s="20"/>
      <c r="C91" s="20"/>
      <c r="D91" s="20"/>
      <c r="E91" s="20"/>
      <c r="F91" s="25"/>
      <c r="G91" s="20"/>
      <c r="H91" s="20"/>
      <c r="I91" s="20"/>
      <c r="J91" s="20"/>
      <c r="K91" s="28"/>
      <c r="L91" s="28"/>
    </row>
    <row r="92">
      <c r="A92" s="20"/>
      <c r="B92" s="20"/>
      <c r="C92" s="20"/>
      <c r="D92" s="20"/>
      <c r="E92" s="20"/>
      <c r="F92" s="25"/>
      <c r="G92" s="20"/>
      <c r="H92" s="20"/>
      <c r="I92" s="20"/>
      <c r="J92" s="20"/>
      <c r="K92" s="28"/>
      <c r="L92" s="28"/>
    </row>
    <row r="93">
      <c r="A93" s="20"/>
      <c r="B93" s="20"/>
      <c r="C93" s="20"/>
      <c r="D93" s="20"/>
      <c r="E93" s="20"/>
      <c r="F93" s="25"/>
      <c r="G93" s="20"/>
      <c r="H93" s="20"/>
      <c r="I93" s="20"/>
      <c r="J93" s="20"/>
      <c r="K93" s="28"/>
      <c r="L93" s="28"/>
    </row>
    <row r="94">
      <c r="A94" s="20"/>
      <c r="B94" s="20"/>
      <c r="C94" s="20"/>
      <c r="D94" s="20"/>
      <c r="E94" s="20"/>
      <c r="F94" s="25"/>
      <c r="G94" s="20"/>
      <c r="H94" s="20"/>
      <c r="I94" s="20"/>
      <c r="J94" s="20"/>
      <c r="K94" s="28"/>
      <c r="L94" s="28"/>
    </row>
    <row r="95">
      <c r="A95" s="20"/>
      <c r="B95" s="20"/>
      <c r="C95" s="20"/>
      <c r="D95" s="20"/>
      <c r="E95" s="20"/>
      <c r="F95" s="25"/>
      <c r="G95" s="20"/>
      <c r="H95" s="20"/>
      <c r="I95" s="20"/>
      <c r="J95" s="20"/>
      <c r="K95" s="28"/>
      <c r="L95" s="28"/>
    </row>
    <row r="96">
      <c r="A96" s="20"/>
      <c r="B96" s="20"/>
      <c r="C96" s="20"/>
      <c r="D96" s="20"/>
      <c r="E96" s="20"/>
      <c r="F96" s="25"/>
      <c r="G96" s="20"/>
      <c r="H96" s="20"/>
      <c r="I96" s="20"/>
      <c r="J96" s="20"/>
      <c r="K96" s="28"/>
      <c r="L96" s="28"/>
    </row>
    <row r="97">
      <c r="A97" s="20"/>
      <c r="B97" s="20"/>
      <c r="C97" s="20"/>
      <c r="D97" s="20"/>
      <c r="E97" s="20"/>
      <c r="F97" s="25"/>
      <c r="G97" s="20"/>
      <c r="H97" s="20"/>
      <c r="I97" s="20"/>
      <c r="J97" s="20"/>
      <c r="K97" s="28"/>
      <c r="L97" s="28"/>
    </row>
    <row r="98">
      <c r="A98" s="20"/>
      <c r="B98" s="20"/>
      <c r="C98" s="20"/>
      <c r="D98" s="20"/>
      <c r="E98" s="20"/>
      <c r="F98" s="25"/>
      <c r="G98" s="20"/>
      <c r="H98" s="20"/>
      <c r="I98" s="20"/>
      <c r="J98" s="20"/>
      <c r="K98" s="28"/>
      <c r="L98" s="28"/>
    </row>
    <row r="99">
      <c r="A99" s="20"/>
      <c r="B99" s="20"/>
      <c r="C99" s="20"/>
      <c r="D99" s="20"/>
      <c r="E99" s="20"/>
      <c r="F99" s="25"/>
      <c r="G99" s="20"/>
      <c r="H99" s="20"/>
      <c r="I99" s="20"/>
      <c r="J99" s="20"/>
      <c r="K99" s="28"/>
      <c r="L99" s="28"/>
    </row>
    <row r="100">
      <c r="A100" s="20"/>
      <c r="B100" s="20"/>
      <c r="C100" s="20"/>
      <c r="D100" s="20"/>
      <c r="E100" s="20"/>
      <c r="F100" s="25"/>
      <c r="G100" s="20"/>
      <c r="H100" s="20"/>
      <c r="I100" s="20"/>
      <c r="J100" s="20"/>
      <c r="K100" s="28"/>
      <c r="L100" s="28"/>
    </row>
    <row r="101">
      <c r="A101" s="20"/>
      <c r="B101" s="20"/>
      <c r="C101" s="20"/>
      <c r="D101" s="20"/>
      <c r="E101" s="20"/>
      <c r="F101" s="25"/>
      <c r="G101" s="20"/>
      <c r="H101" s="20"/>
      <c r="I101" s="20"/>
      <c r="J101" s="20"/>
      <c r="K101" s="28"/>
      <c r="L101" s="28"/>
    </row>
    <row r="102">
      <c r="A102" s="20"/>
      <c r="B102" s="20"/>
      <c r="C102" s="20"/>
      <c r="D102" s="20"/>
      <c r="E102" s="20"/>
      <c r="F102" s="25"/>
      <c r="G102" s="20"/>
      <c r="H102" s="20"/>
      <c r="I102" s="20"/>
      <c r="J102" s="20"/>
      <c r="K102" s="28"/>
      <c r="L102" s="28"/>
    </row>
    <row r="103">
      <c r="A103" s="20"/>
      <c r="B103" s="20"/>
      <c r="C103" s="20"/>
      <c r="D103" s="20"/>
      <c r="E103" s="20"/>
      <c r="F103" s="25"/>
      <c r="G103" s="20"/>
      <c r="H103" s="20"/>
      <c r="I103" s="20"/>
      <c r="J103" s="20"/>
      <c r="K103" s="28"/>
      <c r="L103" s="28"/>
    </row>
    <row r="104">
      <c r="A104" s="20"/>
      <c r="B104" s="20"/>
      <c r="C104" s="20"/>
      <c r="D104" s="20"/>
      <c r="E104" s="20"/>
      <c r="F104" s="25"/>
      <c r="G104" s="20"/>
      <c r="H104" s="20"/>
      <c r="I104" s="20"/>
      <c r="J104" s="20"/>
      <c r="K104" s="28"/>
      <c r="L104" s="28"/>
    </row>
    <row r="105">
      <c r="A105" s="20"/>
      <c r="B105" s="20"/>
      <c r="C105" s="20"/>
      <c r="D105" s="20"/>
      <c r="E105" s="20"/>
      <c r="F105" s="25"/>
      <c r="G105" s="20"/>
      <c r="H105" s="20"/>
      <c r="I105" s="20"/>
      <c r="J105" s="20"/>
      <c r="K105" s="28"/>
      <c r="L105" s="28"/>
    </row>
    <row r="106">
      <c r="A106" s="20"/>
      <c r="B106" s="20"/>
      <c r="C106" s="20"/>
      <c r="D106" s="20"/>
      <c r="E106" s="20"/>
      <c r="F106" s="25"/>
      <c r="G106" s="20"/>
      <c r="H106" s="20"/>
      <c r="I106" s="20"/>
      <c r="J106" s="20"/>
      <c r="K106" s="28"/>
      <c r="L106" s="28"/>
    </row>
    <row r="107">
      <c r="A107" s="20"/>
      <c r="B107" s="20"/>
      <c r="C107" s="20"/>
      <c r="D107" s="20"/>
      <c r="E107" s="20"/>
      <c r="F107" s="25"/>
      <c r="G107" s="20"/>
      <c r="H107" s="20"/>
      <c r="I107" s="20"/>
      <c r="J107" s="20"/>
      <c r="K107" s="28"/>
      <c r="L107" s="28"/>
    </row>
    <row r="108">
      <c r="A108" s="20"/>
      <c r="B108" s="20"/>
      <c r="C108" s="20"/>
      <c r="D108" s="20"/>
      <c r="E108" s="20"/>
      <c r="F108" s="25"/>
      <c r="G108" s="20"/>
      <c r="H108" s="20"/>
      <c r="I108" s="20"/>
      <c r="J108" s="20"/>
      <c r="K108" s="28"/>
      <c r="L108" s="28"/>
    </row>
    <row r="109">
      <c r="A109" s="20"/>
      <c r="B109" s="20"/>
      <c r="C109" s="20"/>
      <c r="D109" s="20"/>
      <c r="E109" s="20"/>
      <c r="F109" s="25"/>
      <c r="G109" s="20"/>
      <c r="H109" s="20"/>
      <c r="I109" s="20"/>
      <c r="J109" s="20"/>
      <c r="K109" s="28"/>
      <c r="L109" s="28"/>
    </row>
    <row r="110">
      <c r="A110" s="20"/>
      <c r="B110" s="20"/>
      <c r="C110" s="20"/>
      <c r="D110" s="20"/>
      <c r="E110" s="20"/>
      <c r="F110" s="25"/>
      <c r="G110" s="20"/>
      <c r="H110" s="20"/>
      <c r="I110" s="20"/>
      <c r="J110" s="20"/>
      <c r="K110" s="28"/>
      <c r="L110" s="28"/>
    </row>
    <row r="111">
      <c r="A111" s="20"/>
      <c r="B111" s="20"/>
      <c r="C111" s="20"/>
      <c r="D111" s="20"/>
      <c r="E111" s="20"/>
      <c r="F111" s="25"/>
      <c r="G111" s="20"/>
      <c r="H111" s="20"/>
      <c r="I111" s="20"/>
      <c r="J111" s="20"/>
      <c r="K111" s="28"/>
      <c r="L111" s="28"/>
    </row>
    <row r="112">
      <c r="A112" s="20"/>
      <c r="B112" s="20"/>
      <c r="C112" s="20"/>
      <c r="D112" s="20"/>
      <c r="E112" s="20"/>
      <c r="F112" s="25"/>
      <c r="G112" s="20"/>
      <c r="H112" s="20"/>
      <c r="I112" s="20"/>
      <c r="J112" s="20"/>
      <c r="K112" s="28"/>
      <c r="L112" s="28"/>
    </row>
    <row r="113">
      <c r="A113" s="20"/>
      <c r="B113" s="20"/>
      <c r="C113" s="20"/>
      <c r="D113" s="20"/>
      <c r="E113" s="20"/>
      <c r="F113" s="25"/>
      <c r="G113" s="20"/>
      <c r="H113" s="20"/>
      <c r="I113" s="20"/>
      <c r="J113" s="20"/>
      <c r="K113" s="28"/>
      <c r="L113" s="28"/>
    </row>
    <row r="114">
      <c r="A114" s="20"/>
      <c r="B114" s="20"/>
      <c r="C114" s="20"/>
      <c r="D114" s="20"/>
      <c r="E114" s="20"/>
      <c r="F114" s="25"/>
      <c r="G114" s="20"/>
      <c r="H114" s="20"/>
      <c r="I114" s="20"/>
      <c r="J114" s="20"/>
      <c r="K114" s="28"/>
      <c r="L114" s="28"/>
    </row>
    <row r="115">
      <c r="A115" s="20"/>
      <c r="B115" s="20"/>
      <c r="C115" s="20"/>
      <c r="D115" s="20"/>
      <c r="E115" s="20"/>
      <c r="F115" s="25"/>
      <c r="G115" s="20"/>
      <c r="H115" s="20"/>
      <c r="I115" s="20"/>
      <c r="J115" s="20"/>
      <c r="K115" s="28"/>
      <c r="L115" s="28"/>
    </row>
    <row r="116">
      <c r="A116" s="20"/>
      <c r="B116" s="20"/>
      <c r="C116" s="20"/>
      <c r="D116" s="20"/>
      <c r="E116" s="20"/>
      <c r="F116" s="25"/>
      <c r="G116" s="20"/>
      <c r="H116" s="20"/>
      <c r="I116" s="20"/>
      <c r="J116" s="20"/>
      <c r="K116" s="28"/>
      <c r="L116" s="28"/>
    </row>
    <row r="117">
      <c r="A117" s="20"/>
      <c r="B117" s="20"/>
      <c r="C117" s="20"/>
      <c r="D117" s="20"/>
      <c r="E117" s="20"/>
      <c r="F117" s="25"/>
      <c r="G117" s="20"/>
      <c r="H117" s="20"/>
      <c r="I117" s="20"/>
      <c r="J117" s="20"/>
      <c r="K117" s="28"/>
      <c r="L117" s="28"/>
    </row>
    <row r="118">
      <c r="A118" s="20"/>
      <c r="B118" s="20"/>
      <c r="C118" s="20"/>
      <c r="D118" s="20"/>
      <c r="E118" s="20"/>
      <c r="F118" s="25"/>
      <c r="G118" s="20"/>
      <c r="H118" s="20"/>
      <c r="I118" s="20"/>
      <c r="J118" s="20"/>
      <c r="K118" s="28"/>
      <c r="L118" s="28"/>
    </row>
    <row r="119">
      <c r="A119" s="20"/>
      <c r="B119" s="20"/>
      <c r="C119" s="20"/>
      <c r="D119" s="20"/>
      <c r="E119" s="20"/>
      <c r="F119" s="25"/>
      <c r="G119" s="20"/>
      <c r="H119" s="20"/>
      <c r="I119" s="20"/>
      <c r="J119" s="20"/>
      <c r="K119" s="28"/>
      <c r="L119" s="28"/>
    </row>
    <row r="120">
      <c r="A120" s="20"/>
      <c r="B120" s="20"/>
      <c r="C120" s="20"/>
      <c r="D120" s="20"/>
      <c r="E120" s="20"/>
      <c r="F120" s="25"/>
      <c r="G120" s="20"/>
      <c r="H120" s="20"/>
      <c r="I120" s="20"/>
      <c r="J120" s="20"/>
      <c r="K120" s="28"/>
      <c r="L120" s="28"/>
    </row>
    <row r="121">
      <c r="A121" s="20"/>
      <c r="B121" s="20"/>
      <c r="C121" s="20"/>
      <c r="D121" s="20"/>
      <c r="E121" s="20"/>
      <c r="F121" s="25"/>
      <c r="G121" s="20"/>
      <c r="H121" s="20"/>
      <c r="I121" s="20"/>
      <c r="J121" s="20"/>
      <c r="K121" s="28"/>
      <c r="L121" s="28"/>
    </row>
    <row r="122">
      <c r="A122" s="20"/>
      <c r="B122" s="20"/>
      <c r="C122" s="20"/>
      <c r="D122" s="20"/>
      <c r="E122" s="20"/>
      <c r="F122" s="25"/>
      <c r="G122" s="20"/>
      <c r="H122" s="20"/>
      <c r="I122" s="20"/>
      <c r="J122" s="20"/>
      <c r="K122" s="28"/>
      <c r="L122" s="28"/>
    </row>
    <row r="123">
      <c r="A123" s="20"/>
      <c r="B123" s="20"/>
      <c r="C123" s="20"/>
      <c r="D123" s="20"/>
      <c r="E123" s="20"/>
      <c r="F123" s="25"/>
      <c r="G123" s="20"/>
      <c r="H123" s="20"/>
      <c r="I123" s="20"/>
      <c r="J123" s="20"/>
      <c r="K123" s="28"/>
      <c r="L123" s="28"/>
    </row>
    <row r="124">
      <c r="A124" s="20"/>
      <c r="B124" s="20"/>
      <c r="C124" s="20"/>
      <c r="D124" s="20"/>
      <c r="E124" s="20"/>
      <c r="F124" s="25"/>
      <c r="G124" s="20"/>
      <c r="H124" s="20"/>
      <c r="I124" s="20"/>
      <c r="J124" s="20"/>
      <c r="K124" s="28"/>
      <c r="L124" s="28"/>
    </row>
    <row r="125">
      <c r="A125" s="20"/>
      <c r="B125" s="20"/>
      <c r="C125" s="20"/>
      <c r="D125" s="20"/>
      <c r="E125" s="20"/>
      <c r="F125" s="25"/>
      <c r="G125" s="20"/>
      <c r="H125" s="20"/>
      <c r="I125" s="20"/>
      <c r="J125" s="20"/>
      <c r="K125" s="28"/>
      <c r="L125" s="28"/>
    </row>
    <row r="126">
      <c r="A126" s="20"/>
      <c r="B126" s="20"/>
      <c r="C126" s="20"/>
      <c r="D126" s="20"/>
      <c r="E126" s="20"/>
      <c r="F126" s="25"/>
      <c r="G126" s="20"/>
      <c r="H126" s="20"/>
      <c r="I126" s="20"/>
      <c r="J126" s="20"/>
      <c r="K126" s="28"/>
      <c r="L126" s="28"/>
    </row>
    <row r="127">
      <c r="A127" s="20"/>
      <c r="B127" s="20"/>
      <c r="C127" s="20"/>
      <c r="D127" s="20"/>
      <c r="E127" s="20"/>
      <c r="F127" s="25"/>
      <c r="G127" s="20"/>
      <c r="H127" s="20"/>
      <c r="I127" s="20"/>
      <c r="J127" s="20"/>
      <c r="K127" s="28"/>
      <c r="L127" s="28"/>
    </row>
    <row r="128">
      <c r="A128" s="20"/>
      <c r="B128" s="20"/>
      <c r="C128" s="20"/>
      <c r="D128" s="20"/>
      <c r="E128" s="20"/>
      <c r="F128" s="25"/>
      <c r="G128" s="20"/>
      <c r="H128" s="20"/>
      <c r="I128" s="20"/>
      <c r="J128" s="20"/>
      <c r="K128" s="28"/>
      <c r="L128" s="28"/>
    </row>
    <row r="129">
      <c r="A129" s="20"/>
      <c r="B129" s="20"/>
      <c r="C129" s="20"/>
      <c r="D129" s="20"/>
      <c r="E129" s="20"/>
      <c r="F129" s="25"/>
      <c r="G129" s="20"/>
      <c r="H129" s="20"/>
      <c r="I129" s="20"/>
      <c r="J129" s="20"/>
      <c r="K129" s="28"/>
      <c r="L129" s="28"/>
    </row>
    <row r="130">
      <c r="A130" s="20"/>
      <c r="B130" s="20"/>
      <c r="C130" s="20"/>
      <c r="D130" s="20"/>
      <c r="E130" s="20"/>
      <c r="F130" s="25"/>
      <c r="G130" s="20"/>
      <c r="H130" s="20"/>
      <c r="I130" s="20"/>
      <c r="J130" s="20"/>
      <c r="K130" s="28"/>
      <c r="L130" s="28"/>
    </row>
    <row r="131">
      <c r="A131" s="20"/>
      <c r="B131" s="20"/>
      <c r="C131" s="20"/>
      <c r="D131" s="20"/>
      <c r="E131" s="20"/>
      <c r="F131" s="25"/>
      <c r="G131" s="20"/>
      <c r="H131" s="20"/>
      <c r="I131" s="20"/>
      <c r="J131" s="20"/>
      <c r="K131" s="28"/>
      <c r="L131" s="28"/>
    </row>
    <row r="132">
      <c r="A132" s="20"/>
      <c r="B132" s="20"/>
      <c r="C132" s="20"/>
      <c r="D132" s="20"/>
      <c r="E132" s="20"/>
      <c r="F132" s="25"/>
      <c r="G132" s="20"/>
      <c r="H132" s="20"/>
      <c r="I132" s="20"/>
      <c r="J132" s="20"/>
      <c r="K132" s="28"/>
      <c r="L132" s="28"/>
    </row>
    <row r="133">
      <c r="A133" s="20"/>
      <c r="B133" s="20"/>
      <c r="C133" s="20"/>
      <c r="D133" s="20"/>
      <c r="E133" s="20"/>
      <c r="F133" s="25"/>
      <c r="G133" s="20"/>
      <c r="H133" s="20"/>
      <c r="I133" s="20"/>
      <c r="J133" s="20"/>
      <c r="K133" s="28"/>
      <c r="L133" s="28"/>
    </row>
    <row r="134">
      <c r="A134" s="20"/>
      <c r="B134" s="20"/>
      <c r="C134" s="20"/>
      <c r="D134" s="20"/>
      <c r="E134" s="20"/>
      <c r="F134" s="25"/>
      <c r="G134" s="20"/>
      <c r="H134" s="20"/>
      <c r="I134" s="20"/>
      <c r="J134" s="20"/>
      <c r="K134" s="28"/>
      <c r="L134" s="28"/>
    </row>
    <row r="135">
      <c r="A135" s="20"/>
      <c r="B135" s="20"/>
      <c r="C135" s="20"/>
      <c r="D135" s="20"/>
      <c r="E135" s="20"/>
      <c r="F135" s="25"/>
      <c r="G135" s="20"/>
      <c r="H135" s="20"/>
      <c r="I135" s="20"/>
      <c r="J135" s="20"/>
      <c r="K135" s="28"/>
      <c r="L135" s="28"/>
    </row>
    <row r="136">
      <c r="A136" s="20"/>
      <c r="B136" s="20"/>
      <c r="C136" s="20"/>
      <c r="D136" s="20"/>
      <c r="E136" s="20"/>
      <c r="F136" s="25"/>
      <c r="G136" s="20"/>
      <c r="H136" s="20"/>
      <c r="I136" s="20"/>
      <c r="J136" s="20"/>
      <c r="K136" s="28"/>
      <c r="L136" s="28"/>
    </row>
    <row r="137">
      <c r="A137" s="20"/>
      <c r="B137" s="20"/>
      <c r="C137" s="20"/>
      <c r="D137" s="20"/>
      <c r="E137" s="20"/>
      <c r="F137" s="25"/>
      <c r="G137" s="20"/>
      <c r="H137" s="20"/>
      <c r="I137" s="20"/>
      <c r="J137" s="20"/>
      <c r="K137" s="28"/>
      <c r="L137" s="28"/>
    </row>
    <row r="138">
      <c r="A138" s="20"/>
      <c r="B138" s="20"/>
      <c r="C138" s="20"/>
      <c r="D138" s="20"/>
      <c r="E138" s="20"/>
      <c r="F138" s="25"/>
      <c r="G138" s="20"/>
      <c r="H138" s="20"/>
      <c r="I138" s="20"/>
      <c r="J138" s="20"/>
      <c r="K138" s="28"/>
      <c r="L138" s="28"/>
    </row>
    <row r="139">
      <c r="A139" s="20"/>
      <c r="B139" s="20"/>
      <c r="C139" s="20"/>
      <c r="D139" s="20"/>
      <c r="E139" s="20"/>
      <c r="F139" s="25"/>
      <c r="G139" s="20"/>
      <c r="H139" s="20"/>
      <c r="I139" s="20"/>
      <c r="J139" s="20"/>
      <c r="K139" s="28"/>
      <c r="L139" s="28"/>
    </row>
    <row r="140">
      <c r="A140" s="20"/>
      <c r="B140" s="20"/>
      <c r="C140" s="20"/>
      <c r="D140" s="20"/>
      <c r="E140" s="20"/>
      <c r="F140" s="25"/>
      <c r="G140" s="20"/>
      <c r="H140" s="20"/>
      <c r="I140" s="20"/>
      <c r="J140" s="20"/>
      <c r="K140" s="28"/>
      <c r="L140" s="28"/>
    </row>
    <row r="141">
      <c r="A141" s="20"/>
      <c r="B141" s="20"/>
      <c r="C141" s="20"/>
      <c r="D141" s="20"/>
      <c r="E141" s="20"/>
      <c r="F141" s="25"/>
      <c r="G141" s="20"/>
      <c r="H141" s="20"/>
      <c r="I141" s="20"/>
      <c r="J141" s="20"/>
      <c r="K141" s="28"/>
      <c r="L141" s="28"/>
    </row>
    <row r="142">
      <c r="A142" s="20"/>
      <c r="B142" s="20"/>
      <c r="C142" s="20"/>
      <c r="D142" s="20"/>
      <c r="E142" s="20"/>
      <c r="F142" s="25"/>
      <c r="G142" s="20"/>
      <c r="H142" s="20"/>
      <c r="I142" s="20"/>
      <c r="J142" s="20"/>
      <c r="K142" s="28"/>
      <c r="L142" s="28"/>
    </row>
    <row r="143">
      <c r="A143" s="20"/>
      <c r="B143" s="20"/>
      <c r="C143" s="20"/>
      <c r="D143" s="20"/>
      <c r="E143" s="20"/>
      <c r="F143" s="25"/>
      <c r="G143" s="20"/>
      <c r="H143" s="20"/>
      <c r="I143" s="20"/>
      <c r="J143" s="20"/>
      <c r="K143" s="28"/>
      <c r="L143" s="28"/>
    </row>
    <row r="144">
      <c r="A144" s="20"/>
      <c r="B144" s="20"/>
      <c r="C144" s="20"/>
      <c r="D144" s="20"/>
      <c r="E144" s="20"/>
      <c r="F144" s="25"/>
      <c r="G144" s="20"/>
      <c r="H144" s="20"/>
      <c r="I144" s="20"/>
      <c r="J144" s="20"/>
      <c r="K144" s="28"/>
      <c r="L144" s="28"/>
    </row>
    <row r="145">
      <c r="A145" s="20"/>
      <c r="B145" s="20"/>
      <c r="C145" s="20"/>
      <c r="D145" s="20"/>
      <c r="E145" s="20"/>
      <c r="F145" s="25"/>
      <c r="G145" s="20"/>
      <c r="H145" s="20"/>
      <c r="I145" s="20"/>
      <c r="J145" s="20"/>
      <c r="K145" s="28"/>
      <c r="L145" s="28"/>
    </row>
    <row r="146">
      <c r="A146" s="20"/>
      <c r="B146" s="20"/>
      <c r="C146" s="20"/>
      <c r="D146" s="20"/>
      <c r="E146" s="20"/>
      <c r="F146" s="25"/>
      <c r="G146" s="20"/>
      <c r="H146" s="20"/>
      <c r="I146" s="20"/>
      <c r="J146" s="20"/>
      <c r="K146" s="28"/>
      <c r="L146" s="28"/>
    </row>
    <row r="147">
      <c r="A147" s="20"/>
      <c r="B147" s="20"/>
      <c r="C147" s="20"/>
      <c r="D147" s="20"/>
      <c r="E147" s="20"/>
      <c r="F147" s="25"/>
      <c r="G147" s="20"/>
      <c r="H147" s="20"/>
      <c r="I147" s="20"/>
      <c r="J147" s="20"/>
      <c r="K147" s="28"/>
      <c r="L147" s="28"/>
    </row>
    <row r="148">
      <c r="A148" s="20"/>
      <c r="B148" s="20"/>
      <c r="C148" s="20"/>
      <c r="D148" s="20"/>
      <c r="E148" s="20"/>
      <c r="F148" s="25"/>
      <c r="G148" s="20"/>
      <c r="H148" s="20"/>
      <c r="I148" s="20"/>
      <c r="J148" s="20"/>
      <c r="K148" s="28"/>
      <c r="L148" s="28"/>
    </row>
    <row r="149">
      <c r="A149" s="20"/>
      <c r="B149" s="20"/>
      <c r="C149" s="20"/>
      <c r="D149" s="20"/>
      <c r="E149" s="20"/>
      <c r="F149" s="25"/>
      <c r="G149" s="20"/>
      <c r="H149" s="20"/>
      <c r="I149" s="20"/>
      <c r="J149" s="20"/>
      <c r="K149" s="28"/>
      <c r="L149" s="28"/>
    </row>
    <row r="150">
      <c r="A150" s="20"/>
      <c r="B150" s="20"/>
      <c r="C150" s="20"/>
      <c r="D150" s="20"/>
      <c r="E150" s="20"/>
      <c r="F150" s="25"/>
      <c r="G150" s="20"/>
      <c r="H150" s="20"/>
      <c r="I150" s="20"/>
      <c r="J150" s="20"/>
      <c r="K150" s="28"/>
      <c r="L150" s="28"/>
    </row>
    <row r="151">
      <c r="A151" s="20"/>
      <c r="B151" s="20"/>
      <c r="C151" s="20"/>
      <c r="D151" s="20"/>
      <c r="E151" s="20"/>
      <c r="F151" s="25"/>
      <c r="G151" s="20"/>
      <c r="H151" s="20"/>
      <c r="I151" s="20"/>
      <c r="J151" s="20"/>
      <c r="K151" s="28"/>
      <c r="L151" s="28"/>
    </row>
    <row r="152">
      <c r="A152" s="20"/>
      <c r="B152" s="20"/>
      <c r="C152" s="20"/>
      <c r="D152" s="20"/>
      <c r="E152" s="20"/>
      <c r="F152" s="25"/>
      <c r="G152" s="20"/>
      <c r="H152" s="20"/>
      <c r="I152" s="20"/>
      <c r="J152" s="20"/>
      <c r="K152" s="28"/>
      <c r="L152" s="28"/>
    </row>
    <row r="153">
      <c r="A153" s="20"/>
      <c r="B153" s="20"/>
      <c r="C153" s="20"/>
      <c r="D153" s="20"/>
      <c r="E153" s="20"/>
      <c r="F153" s="25"/>
      <c r="G153" s="20"/>
      <c r="H153" s="20"/>
      <c r="I153" s="20"/>
      <c r="J153" s="20"/>
      <c r="K153" s="28"/>
      <c r="L153" s="28"/>
    </row>
    <row r="154">
      <c r="A154" s="20"/>
      <c r="B154" s="20"/>
      <c r="C154" s="20"/>
      <c r="D154" s="20"/>
      <c r="E154" s="20"/>
      <c r="F154" s="25"/>
      <c r="G154" s="20"/>
      <c r="H154" s="20"/>
      <c r="I154" s="20"/>
      <c r="J154" s="20"/>
      <c r="K154" s="28"/>
      <c r="L154" s="28"/>
    </row>
    <row r="155">
      <c r="A155" s="20"/>
      <c r="B155" s="20"/>
      <c r="C155" s="20"/>
      <c r="D155" s="20"/>
      <c r="E155" s="20"/>
      <c r="F155" s="25"/>
      <c r="G155" s="20"/>
      <c r="H155" s="20"/>
      <c r="I155" s="20"/>
      <c r="J155" s="20"/>
      <c r="K155" s="28"/>
      <c r="L155" s="28"/>
    </row>
    <row r="156">
      <c r="A156" s="20"/>
      <c r="B156" s="20"/>
      <c r="C156" s="20"/>
      <c r="D156" s="20"/>
      <c r="E156" s="20"/>
      <c r="F156" s="25"/>
      <c r="G156" s="20"/>
      <c r="H156" s="20"/>
      <c r="I156" s="20"/>
      <c r="J156" s="20"/>
      <c r="K156" s="28"/>
      <c r="L156" s="28"/>
    </row>
    <row r="157">
      <c r="A157" s="20"/>
      <c r="B157" s="20"/>
      <c r="C157" s="20"/>
      <c r="D157" s="20"/>
      <c r="E157" s="20"/>
      <c r="F157" s="25"/>
      <c r="G157" s="20"/>
      <c r="H157" s="20"/>
      <c r="I157" s="20"/>
      <c r="J157" s="20"/>
      <c r="K157" s="28"/>
      <c r="L157" s="28"/>
    </row>
    <row r="158">
      <c r="A158" s="20"/>
      <c r="B158" s="20"/>
      <c r="C158" s="20"/>
      <c r="D158" s="20"/>
      <c r="E158" s="20"/>
      <c r="F158" s="25"/>
      <c r="G158" s="20"/>
      <c r="H158" s="20"/>
      <c r="I158" s="20"/>
      <c r="J158" s="20"/>
      <c r="K158" s="28"/>
      <c r="L158" s="28"/>
    </row>
    <row r="159">
      <c r="A159" s="20"/>
      <c r="B159" s="20"/>
      <c r="C159" s="20"/>
      <c r="D159" s="20"/>
      <c r="E159" s="20"/>
      <c r="F159" s="25"/>
      <c r="G159" s="20"/>
      <c r="H159" s="20"/>
      <c r="I159" s="20"/>
      <c r="J159" s="20"/>
      <c r="K159" s="28"/>
      <c r="L159" s="28"/>
    </row>
    <row r="160">
      <c r="A160" s="20"/>
      <c r="B160" s="20"/>
      <c r="C160" s="20"/>
      <c r="D160" s="20"/>
      <c r="E160" s="20"/>
      <c r="F160" s="25"/>
      <c r="G160" s="20"/>
      <c r="H160" s="20"/>
      <c r="I160" s="20"/>
      <c r="J160" s="20"/>
      <c r="K160" s="28"/>
      <c r="L160" s="28"/>
    </row>
    <row r="161">
      <c r="A161" s="20"/>
      <c r="B161" s="20"/>
      <c r="C161" s="20"/>
      <c r="D161" s="20"/>
      <c r="E161" s="20"/>
      <c r="F161" s="25"/>
      <c r="G161" s="20"/>
      <c r="H161" s="20"/>
      <c r="I161" s="20"/>
      <c r="J161" s="20"/>
      <c r="K161" s="28"/>
      <c r="L161" s="28"/>
    </row>
    <row r="162">
      <c r="A162" s="20"/>
      <c r="B162" s="20"/>
      <c r="C162" s="20"/>
      <c r="D162" s="20"/>
      <c r="E162" s="20"/>
      <c r="F162" s="25"/>
      <c r="G162" s="20"/>
      <c r="H162" s="20"/>
      <c r="I162" s="20"/>
      <c r="J162" s="20"/>
      <c r="K162" s="28"/>
      <c r="L162" s="28"/>
    </row>
    <row r="163">
      <c r="A163" s="20"/>
      <c r="B163" s="20"/>
      <c r="C163" s="20"/>
      <c r="D163" s="20"/>
      <c r="E163" s="20"/>
      <c r="F163" s="25"/>
      <c r="G163" s="20"/>
      <c r="H163" s="20"/>
      <c r="I163" s="20"/>
      <c r="J163" s="20"/>
      <c r="K163" s="28"/>
      <c r="L163" s="28"/>
    </row>
    <row r="164">
      <c r="A164" s="20"/>
      <c r="B164" s="20"/>
      <c r="C164" s="20"/>
      <c r="D164" s="20"/>
      <c r="E164" s="20"/>
      <c r="F164" s="25"/>
      <c r="G164" s="20"/>
      <c r="H164" s="20"/>
      <c r="I164" s="20"/>
      <c r="J164" s="20"/>
      <c r="K164" s="28"/>
      <c r="L164" s="28"/>
    </row>
    <row r="165">
      <c r="A165" s="20"/>
      <c r="B165" s="20"/>
      <c r="C165" s="20"/>
      <c r="D165" s="20"/>
      <c r="E165" s="20"/>
      <c r="F165" s="25"/>
      <c r="G165" s="20"/>
      <c r="H165" s="20"/>
      <c r="I165" s="20"/>
      <c r="J165" s="20"/>
      <c r="K165" s="28"/>
      <c r="L165" s="28"/>
    </row>
    <row r="166">
      <c r="A166" s="20"/>
      <c r="B166" s="20"/>
      <c r="C166" s="20"/>
      <c r="D166" s="20"/>
      <c r="E166" s="20"/>
      <c r="F166" s="25"/>
      <c r="G166" s="20"/>
      <c r="H166" s="20"/>
      <c r="I166" s="20"/>
      <c r="J166" s="20"/>
      <c r="K166" s="28"/>
      <c r="L166" s="28"/>
    </row>
    <row r="167">
      <c r="A167" s="20"/>
      <c r="B167" s="20"/>
      <c r="C167" s="20"/>
      <c r="D167" s="20"/>
      <c r="E167" s="20"/>
      <c r="F167" s="25"/>
      <c r="G167" s="20"/>
      <c r="H167" s="20"/>
      <c r="I167" s="20"/>
      <c r="J167" s="20"/>
      <c r="K167" s="28"/>
      <c r="L167" s="28"/>
    </row>
    <row r="168">
      <c r="A168" s="20"/>
      <c r="B168" s="20"/>
      <c r="C168" s="20"/>
      <c r="D168" s="20"/>
      <c r="E168" s="20"/>
      <c r="F168" s="25"/>
      <c r="G168" s="20"/>
      <c r="H168" s="20"/>
      <c r="I168" s="20"/>
      <c r="J168" s="20"/>
      <c r="K168" s="28"/>
      <c r="L168" s="28"/>
    </row>
    <row r="169">
      <c r="A169" s="20"/>
      <c r="B169" s="20"/>
      <c r="C169" s="20"/>
      <c r="D169" s="20"/>
      <c r="E169" s="20"/>
      <c r="F169" s="25"/>
      <c r="G169" s="20"/>
      <c r="H169" s="20"/>
      <c r="I169" s="20"/>
      <c r="J169" s="20"/>
      <c r="K169" s="28"/>
      <c r="L169" s="28"/>
    </row>
    <row r="170">
      <c r="A170" s="20"/>
      <c r="B170" s="20"/>
      <c r="C170" s="20"/>
      <c r="D170" s="20"/>
      <c r="E170" s="20"/>
      <c r="F170" s="25"/>
      <c r="G170" s="20"/>
      <c r="H170" s="20"/>
      <c r="I170" s="20"/>
      <c r="J170" s="20"/>
      <c r="K170" s="28"/>
      <c r="L170" s="28"/>
    </row>
    <row r="171">
      <c r="A171" s="20"/>
      <c r="B171" s="20"/>
      <c r="C171" s="20"/>
      <c r="D171" s="20"/>
      <c r="E171" s="20"/>
      <c r="F171" s="25"/>
      <c r="G171" s="20"/>
      <c r="H171" s="20"/>
      <c r="I171" s="20"/>
      <c r="J171" s="20"/>
      <c r="K171" s="28"/>
      <c r="L171" s="28"/>
    </row>
    <row r="172">
      <c r="A172" s="20"/>
      <c r="B172" s="20"/>
      <c r="C172" s="20"/>
      <c r="D172" s="20"/>
      <c r="E172" s="20"/>
      <c r="F172" s="25"/>
      <c r="G172" s="20"/>
      <c r="H172" s="20"/>
      <c r="I172" s="20"/>
      <c r="J172" s="20"/>
      <c r="K172" s="28"/>
      <c r="L172" s="28"/>
    </row>
    <row r="173">
      <c r="A173" s="20"/>
      <c r="B173" s="20"/>
      <c r="C173" s="20"/>
      <c r="D173" s="20"/>
      <c r="E173" s="20"/>
      <c r="F173" s="25"/>
      <c r="G173" s="20"/>
      <c r="H173" s="20"/>
      <c r="I173" s="20"/>
      <c r="J173" s="20"/>
      <c r="K173" s="28"/>
      <c r="L173" s="28"/>
    </row>
    <row r="174">
      <c r="A174" s="20"/>
      <c r="B174" s="20"/>
      <c r="C174" s="20"/>
      <c r="D174" s="20"/>
      <c r="E174" s="20"/>
      <c r="F174" s="25"/>
      <c r="G174" s="20"/>
      <c r="H174" s="20"/>
      <c r="I174" s="20"/>
      <c r="J174" s="20"/>
      <c r="K174" s="28"/>
      <c r="L174" s="28"/>
    </row>
    <row r="175">
      <c r="A175" s="20"/>
      <c r="B175" s="20"/>
      <c r="C175" s="20"/>
      <c r="D175" s="20"/>
      <c r="E175" s="20"/>
      <c r="F175" s="25"/>
      <c r="G175" s="20"/>
      <c r="H175" s="20"/>
      <c r="I175" s="20"/>
      <c r="J175" s="20"/>
      <c r="K175" s="28"/>
      <c r="L175" s="28"/>
    </row>
  </sheetData>
  <autoFilter ref="$A$2:$L$72"/>
  <mergeCells count="1">
    <mergeCell ref="A1:L1"/>
  </mergeCells>
  <conditionalFormatting sqref="D3:G175">
    <cfRule type="expression" dxfId="0" priority="1">
      <formula>D3&gt;=MAX(D$3:D$246)</formula>
    </cfRule>
  </conditionalFormatting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2.75"/>
  <cols>
    <col customWidth="1" min="1" max="1" width="8.13"/>
    <col customWidth="1" min="2" max="2" width="11.63"/>
    <col customWidth="1" min="3" max="3" width="11.88"/>
    <col customWidth="1" min="4" max="4" width="9.25"/>
    <col customWidth="1" min="5" max="5" width="7.63"/>
    <col customWidth="1" min="6" max="6" width="7.13"/>
    <col customWidth="1" min="7" max="7" width="9.0"/>
    <col customWidth="1" min="8" max="9" width="6.88"/>
  </cols>
  <sheetData>
    <row r="1" ht="30.75" customHeight="1">
      <c r="A1" s="1" t="s">
        <v>243</v>
      </c>
    </row>
    <row r="2" ht="15.0" customHeight="1">
      <c r="A2" s="3" t="s">
        <v>3</v>
      </c>
      <c r="B2" s="3" t="s">
        <v>4</v>
      </c>
      <c r="C2" s="3" t="s">
        <v>5</v>
      </c>
      <c r="D2" s="3" t="s">
        <v>244</v>
      </c>
      <c r="E2" s="3" t="s">
        <v>16</v>
      </c>
      <c r="F2" s="3" t="s">
        <v>17</v>
      </c>
      <c r="G2" s="3" t="s">
        <v>18</v>
      </c>
      <c r="H2" s="11" t="s">
        <v>19</v>
      </c>
      <c r="I2" s="12" t="s">
        <v>20</v>
      </c>
    </row>
    <row r="3" ht="15.0" customHeight="1">
      <c r="A3" s="13" t="s">
        <v>22</v>
      </c>
      <c r="B3" s="13" t="s">
        <v>37</v>
      </c>
      <c r="C3" s="13" t="s">
        <v>38</v>
      </c>
      <c r="D3" s="13">
        <v>240.0</v>
      </c>
      <c r="E3" s="13" t="s">
        <v>41</v>
      </c>
      <c r="F3" s="13" t="s">
        <v>42</v>
      </c>
      <c r="G3" s="13">
        <v>1.0</v>
      </c>
      <c r="H3" s="20">
        <f>vlookup(G3,Superbowls!$A$2:$B$115,2,FALSE)</f>
        <v>2009</v>
      </c>
      <c r="I3" s="20" t="s">
        <v>36</v>
      </c>
    </row>
    <row r="4" ht="15.0" customHeight="1">
      <c r="A4" s="13" t="s">
        <v>31</v>
      </c>
      <c r="B4" s="13" t="s">
        <v>32</v>
      </c>
      <c r="C4" s="13" t="s">
        <v>33</v>
      </c>
      <c r="D4" s="13">
        <v>156.0</v>
      </c>
      <c r="E4" s="13" t="s">
        <v>29</v>
      </c>
      <c r="F4" s="13" t="s">
        <v>30</v>
      </c>
      <c r="G4" s="13">
        <v>1.0</v>
      </c>
      <c r="H4" s="20">
        <f>vlookup(G4,Superbowls!$A$2:$B$115,2,FALSE)</f>
        <v>2009</v>
      </c>
      <c r="I4" s="20" t="s">
        <v>36</v>
      </c>
    </row>
    <row r="5" ht="15.0" customHeight="1">
      <c r="A5" s="13" t="s">
        <v>22</v>
      </c>
      <c r="B5" s="13" t="s">
        <v>24</v>
      </c>
      <c r="C5" s="13" t="s">
        <v>26</v>
      </c>
      <c r="D5" s="13">
        <v>150.0</v>
      </c>
      <c r="E5" s="13" t="s">
        <v>34</v>
      </c>
      <c r="F5" s="13" t="s">
        <v>35</v>
      </c>
      <c r="G5" s="13">
        <v>1.0</v>
      </c>
      <c r="H5" s="20">
        <f>vlookup(G5,Superbowls!$A$2:$B$115,2,FALSE)</f>
        <v>2009</v>
      </c>
      <c r="I5" s="20" t="s">
        <v>36</v>
      </c>
    </row>
    <row r="6" ht="15.0" customHeight="1">
      <c r="A6" s="13" t="s">
        <v>22</v>
      </c>
      <c r="B6" s="13" t="s">
        <v>43</v>
      </c>
      <c r="C6" s="13" t="s">
        <v>44</v>
      </c>
      <c r="D6" s="13">
        <v>126.0</v>
      </c>
      <c r="E6" s="13" t="s">
        <v>34</v>
      </c>
      <c r="F6" s="13" t="s">
        <v>35</v>
      </c>
      <c r="G6" s="13">
        <v>1.0</v>
      </c>
      <c r="H6" s="20">
        <f>vlookup(G6,Superbowls!$A$2:$B$115,2,FALSE)</f>
        <v>2009</v>
      </c>
      <c r="I6" s="20" t="s">
        <v>36</v>
      </c>
    </row>
    <row r="7" ht="15.0" customHeight="1">
      <c r="A7" s="13" t="s">
        <v>22</v>
      </c>
      <c r="B7" s="13" t="s">
        <v>50</v>
      </c>
      <c r="C7" s="13" t="s">
        <v>51</v>
      </c>
      <c r="D7" s="13">
        <v>126.0</v>
      </c>
      <c r="E7" s="13" t="s">
        <v>29</v>
      </c>
      <c r="F7" s="13" t="s">
        <v>30</v>
      </c>
      <c r="G7" s="13">
        <v>1.0</v>
      </c>
      <c r="H7" s="20">
        <f>vlookup(G7,Superbowls!$A$2:$B$115,2,FALSE)</f>
        <v>2009</v>
      </c>
      <c r="I7" s="20" t="s">
        <v>36</v>
      </c>
    </row>
    <row r="8" ht="15.0" customHeight="1">
      <c r="A8" s="13" t="s">
        <v>250</v>
      </c>
      <c r="B8" s="13" t="s">
        <v>251</v>
      </c>
      <c r="C8" s="13" t="s">
        <v>95</v>
      </c>
      <c r="D8" s="13">
        <v>103.0</v>
      </c>
      <c r="E8" s="13" t="s">
        <v>29</v>
      </c>
      <c r="F8" s="13" t="s">
        <v>30</v>
      </c>
      <c r="G8" s="13">
        <v>1.0</v>
      </c>
      <c r="H8" s="20">
        <f>vlookup(G8,Superbowls!$A$2:$B$115,2,FALSE)</f>
        <v>2009</v>
      </c>
      <c r="I8" s="20" t="s">
        <v>36</v>
      </c>
    </row>
    <row r="9" ht="15.0" customHeight="1">
      <c r="A9" s="13" t="s">
        <v>31</v>
      </c>
      <c r="B9" s="13" t="s">
        <v>249</v>
      </c>
      <c r="C9" s="13" t="s">
        <v>33</v>
      </c>
      <c r="D9" s="13">
        <v>90.0</v>
      </c>
      <c r="E9" s="13" t="s">
        <v>29</v>
      </c>
      <c r="F9" s="13" t="s">
        <v>30</v>
      </c>
      <c r="G9" s="13">
        <v>1.0</v>
      </c>
      <c r="H9" s="20">
        <f>vlookup(G9,Superbowls!$A$2:$B$115,2,FALSE)</f>
        <v>2009</v>
      </c>
      <c r="I9" s="20" t="s">
        <v>36</v>
      </c>
    </row>
    <row r="10" ht="15.0" customHeight="1">
      <c r="A10" s="13" t="s">
        <v>22</v>
      </c>
      <c r="B10" s="13" t="s">
        <v>48</v>
      </c>
      <c r="C10" s="13" t="s">
        <v>49</v>
      </c>
      <c r="D10" s="13">
        <v>258.0</v>
      </c>
      <c r="E10" s="13" t="s">
        <v>47</v>
      </c>
      <c r="F10" s="13" t="s">
        <v>30</v>
      </c>
      <c r="G10" s="13">
        <v>2.0</v>
      </c>
      <c r="H10" s="20">
        <f>vlookup(G10,Superbowls!$A$2:$B$115,2,FALSE)</f>
        <v>2009</v>
      </c>
      <c r="I10" s="20" t="s">
        <v>36</v>
      </c>
    </row>
    <row r="11" ht="15.0" customHeight="1">
      <c r="A11" s="13" t="s">
        <v>31</v>
      </c>
      <c r="B11" s="13" t="s">
        <v>254</v>
      </c>
      <c r="C11" s="13" t="s">
        <v>84</v>
      </c>
      <c r="D11" s="13">
        <v>114.0</v>
      </c>
      <c r="E11" s="13" t="s">
        <v>54</v>
      </c>
      <c r="F11" s="13" t="s">
        <v>30</v>
      </c>
      <c r="G11" s="13">
        <v>2.0</v>
      </c>
      <c r="H11" s="20">
        <f>vlookup(G11,Superbowls!$A$2:$B$115,2,FALSE)</f>
        <v>2009</v>
      </c>
      <c r="I11" s="20" t="s">
        <v>36</v>
      </c>
    </row>
    <row r="12" ht="15.0" customHeight="1">
      <c r="A12" s="13" t="s">
        <v>22</v>
      </c>
      <c r="B12" s="13" t="s">
        <v>24</v>
      </c>
      <c r="C12" s="13" t="s">
        <v>26</v>
      </c>
      <c r="D12" s="13">
        <v>336.0</v>
      </c>
      <c r="E12" s="13" t="s">
        <v>255</v>
      </c>
      <c r="F12" s="13" t="s">
        <v>35</v>
      </c>
      <c r="G12" s="13">
        <v>3.0</v>
      </c>
      <c r="H12" s="20">
        <f>vlookup(G12,Superbowls!$A$2:$B$115,2,FALSE)</f>
        <v>2009</v>
      </c>
      <c r="I12" s="20" t="s">
        <v>36</v>
      </c>
    </row>
    <row r="13" ht="15.0" customHeight="1">
      <c r="A13" s="13" t="s">
        <v>22</v>
      </c>
      <c r="B13" s="13" t="s">
        <v>55</v>
      </c>
      <c r="C13" s="13" t="s">
        <v>56</v>
      </c>
      <c r="D13" s="13">
        <v>258.0</v>
      </c>
      <c r="E13" s="13" t="s">
        <v>57</v>
      </c>
      <c r="F13" s="13" t="s">
        <v>42</v>
      </c>
      <c r="G13" s="13">
        <v>3.0</v>
      </c>
      <c r="H13" s="20">
        <f>vlookup(G13,Superbowls!$A$2:$B$115,2,FALSE)</f>
        <v>2009</v>
      </c>
      <c r="I13" s="20" t="s">
        <v>36</v>
      </c>
    </row>
    <row r="14" ht="15.0" customHeight="1">
      <c r="A14" s="13" t="s">
        <v>31</v>
      </c>
      <c r="B14" s="13" t="s">
        <v>103</v>
      </c>
      <c r="C14" s="13" t="s">
        <v>104</v>
      </c>
      <c r="D14" s="13">
        <v>180.0</v>
      </c>
      <c r="E14" s="13" t="s">
        <v>60</v>
      </c>
      <c r="F14" s="13" t="s">
        <v>30</v>
      </c>
      <c r="G14" s="13">
        <v>3.0</v>
      </c>
      <c r="H14" s="20">
        <f>vlookup(G14,Superbowls!$A$2:$B$115,2,FALSE)</f>
        <v>2009</v>
      </c>
      <c r="I14" s="20" t="s">
        <v>36</v>
      </c>
    </row>
    <row r="15" ht="15.0" customHeight="1">
      <c r="A15" s="13" t="s">
        <v>22</v>
      </c>
      <c r="B15" s="13" t="s">
        <v>24</v>
      </c>
      <c r="C15" s="13" t="s">
        <v>26</v>
      </c>
      <c r="D15" s="13">
        <v>294.0</v>
      </c>
      <c r="E15" s="13" t="s">
        <v>34</v>
      </c>
      <c r="F15" s="13" t="s">
        <v>35</v>
      </c>
      <c r="G15" s="13">
        <v>4.0</v>
      </c>
      <c r="H15" s="20">
        <f>vlookup(G15,Superbowls!$A$2:$B$115,2,FALSE)</f>
        <v>2009</v>
      </c>
      <c r="I15" s="20" t="s">
        <v>36</v>
      </c>
    </row>
    <row r="16" ht="15.0" customHeight="1">
      <c r="A16" s="13" t="s">
        <v>31</v>
      </c>
      <c r="B16" s="13" t="s">
        <v>72</v>
      </c>
      <c r="C16" s="13" t="s">
        <v>73</v>
      </c>
      <c r="D16" s="13">
        <v>222.0</v>
      </c>
      <c r="E16" s="13" t="s">
        <v>54</v>
      </c>
      <c r="F16" s="13" t="s">
        <v>42</v>
      </c>
      <c r="G16" s="13">
        <v>4.0</v>
      </c>
      <c r="H16" s="20">
        <f>vlookup(G16,Superbowls!$A$2:$B$115,2,FALSE)</f>
        <v>2009</v>
      </c>
      <c r="I16" s="20" t="s">
        <v>36</v>
      </c>
    </row>
    <row r="17" ht="15.0" customHeight="1">
      <c r="A17" s="13" t="s">
        <v>21</v>
      </c>
      <c r="B17" s="13" t="s">
        <v>61</v>
      </c>
      <c r="C17" s="13" t="s">
        <v>21</v>
      </c>
      <c r="D17" s="13">
        <v>114.0</v>
      </c>
      <c r="E17" s="13" t="s">
        <v>62</v>
      </c>
      <c r="F17" s="13" t="s">
        <v>63</v>
      </c>
      <c r="G17" s="13">
        <v>4.0</v>
      </c>
      <c r="H17" s="20">
        <f>vlookup(G17,Superbowls!$A$2:$B$115,2,FALSE)</f>
        <v>2009</v>
      </c>
      <c r="I17" s="20" t="s">
        <v>36</v>
      </c>
    </row>
    <row r="18" ht="15.0" customHeight="1">
      <c r="A18" s="13" t="s">
        <v>250</v>
      </c>
      <c r="B18" s="13" t="s">
        <v>263</v>
      </c>
      <c r="C18" s="13" t="s">
        <v>264</v>
      </c>
      <c r="D18" s="13">
        <v>101.0</v>
      </c>
      <c r="E18" s="13" t="s">
        <v>79</v>
      </c>
      <c r="F18" s="13" t="s">
        <v>30</v>
      </c>
      <c r="G18" s="13">
        <v>4.0</v>
      </c>
      <c r="H18" s="20">
        <f>vlookup(G18,Superbowls!$A$2:$B$115,2,FALSE)</f>
        <v>2009</v>
      </c>
      <c r="I18" s="20" t="s">
        <v>36</v>
      </c>
    </row>
    <row r="19" ht="15.0" customHeight="1">
      <c r="A19" s="13" t="s">
        <v>31</v>
      </c>
      <c r="B19" s="13" t="s">
        <v>141</v>
      </c>
      <c r="C19" s="13" t="s">
        <v>142</v>
      </c>
      <c r="D19" s="13">
        <v>246.0</v>
      </c>
      <c r="E19" s="13" t="s">
        <v>81</v>
      </c>
      <c r="F19" s="13" t="s">
        <v>63</v>
      </c>
      <c r="G19" s="13">
        <v>5.0</v>
      </c>
      <c r="H19" s="20">
        <f>vlookup(G19,Superbowls!$A$2:$B$115,2,FALSE)</f>
        <v>2010</v>
      </c>
      <c r="I19" s="20" t="s">
        <v>36</v>
      </c>
    </row>
    <row r="20" ht="15.0" customHeight="1">
      <c r="A20" s="13" t="s">
        <v>250</v>
      </c>
      <c r="B20" s="13" t="s">
        <v>268</v>
      </c>
      <c r="C20" s="13" t="s">
        <v>269</v>
      </c>
      <c r="D20" s="13">
        <v>117.0</v>
      </c>
      <c r="E20" s="13" t="s">
        <v>89</v>
      </c>
      <c r="F20" s="13" t="s">
        <v>30</v>
      </c>
      <c r="G20" s="13">
        <v>5.0</v>
      </c>
      <c r="H20" s="20">
        <f>vlookup(G20,Superbowls!$A$2:$B$115,2,FALSE)</f>
        <v>2010</v>
      </c>
      <c r="I20" s="20" t="s">
        <v>36</v>
      </c>
    </row>
    <row r="21" ht="15.0" customHeight="1">
      <c r="A21" s="13" t="s">
        <v>22</v>
      </c>
      <c r="B21" s="13" t="s">
        <v>68</v>
      </c>
      <c r="C21" s="13" t="s">
        <v>69</v>
      </c>
      <c r="D21" s="13">
        <v>408.0</v>
      </c>
      <c r="E21" s="13" t="s">
        <v>70</v>
      </c>
      <c r="F21" s="13" t="s">
        <v>71</v>
      </c>
      <c r="G21" s="20">
        <v>6.0</v>
      </c>
      <c r="H21" s="20">
        <f>vlookup(G21,Superbowls!$A$2:$B$115,2,FALSE)</f>
        <v>2011</v>
      </c>
      <c r="I21" s="28" t="s">
        <v>36</v>
      </c>
    </row>
    <row r="22" ht="15.0" customHeight="1">
      <c r="A22" s="13" t="s">
        <v>31</v>
      </c>
      <c r="B22" s="13" t="s">
        <v>159</v>
      </c>
      <c r="C22" s="13" t="s">
        <v>160</v>
      </c>
      <c r="D22" s="13">
        <v>336.0</v>
      </c>
      <c r="E22" s="13" t="s">
        <v>54</v>
      </c>
      <c r="F22" s="13" t="s">
        <v>42</v>
      </c>
      <c r="G22" s="20">
        <v>6.0</v>
      </c>
      <c r="H22" s="20">
        <f>vlookup(G22,Superbowls!$A$2:$B$115,2,FALSE)</f>
        <v>2011</v>
      </c>
      <c r="I22" s="28" t="s">
        <v>36</v>
      </c>
    </row>
    <row r="23">
      <c r="A23" s="20" t="s">
        <v>22</v>
      </c>
      <c r="B23" s="20" t="s">
        <v>48</v>
      </c>
      <c r="C23" s="20" t="s">
        <v>49</v>
      </c>
      <c r="D23" s="20">
        <v>348.0</v>
      </c>
      <c r="E23" s="20" t="s">
        <v>47</v>
      </c>
      <c r="F23" s="20" t="s">
        <v>71</v>
      </c>
      <c r="G23" s="20">
        <v>7.0</v>
      </c>
      <c r="H23" s="20">
        <f>vlookup(G23,Superbowls!$A$2:$B$115,2,FALSE)</f>
        <v>2017</v>
      </c>
      <c r="I23" s="28" t="s">
        <v>36</v>
      </c>
    </row>
    <row r="24">
      <c r="A24" s="20" t="s">
        <v>22</v>
      </c>
      <c r="B24" s="20" t="s">
        <v>153</v>
      </c>
      <c r="C24" s="20" t="s">
        <v>177</v>
      </c>
      <c r="D24" s="20">
        <v>192.0</v>
      </c>
      <c r="E24" s="20" t="s">
        <v>89</v>
      </c>
      <c r="F24" s="20" t="s">
        <v>30</v>
      </c>
      <c r="G24" s="20">
        <v>7.0</v>
      </c>
      <c r="H24" s="20">
        <f>vlookup(G24,Superbowls!$A$2:$B$115,2,FALSE)</f>
        <v>2017</v>
      </c>
      <c r="I24" s="28" t="s">
        <v>36</v>
      </c>
    </row>
    <row r="25">
      <c r="A25" s="20" t="s">
        <v>31</v>
      </c>
      <c r="B25" s="20" t="s">
        <v>32</v>
      </c>
      <c r="C25" s="20" t="s">
        <v>33</v>
      </c>
      <c r="D25" s="20">
        <v>150.0</v>
      </c>
      <c r="E25" s="20" t="s">
        <v>29</v>
      </c>
      <c r="F25" s="20" t="s">
        <v>35</v>
      </c>
      <c r="G25" s="20">
        <v>7.0</v>
      </c>
      <c r="H25" s="20">
        <f>vlookup(G25,Superbowls!$A$2:$B$115,2,FALSE)</f>
        <v>2017</v>
      </c>
      <c r="I25" s="28" t="s">
        <v>36</v>
      </c>
    </row>
    <row r="26">
      <c r="A26" s="20" t="s">
        <v>31</v>
      </c>
      <c r="B26" s="20" t="s">
        <v>182</v>
      </c>
      <c r="C26" s="20" t="s">
        <v>183</v>
      </c>
      <c r="D26" s="20">
        <v>126.0</v>
      </c>
      <c r="E26" s="20" t="s">
        <v>114</v>
      </c>
      <c r="F26" s="20" t="s">
        <v>42</v>
      </c>
      <c r="G26" s="20">
        <v>7.0</v>
      </c>
      <c r="H26" s="20">
        <f>vlookup(G26,Superbowls!$A$2:$B$115,2,FALSE)</f>
        <v>2017</v>
      </c>
      <c r="I26" s="28" t="s">
        <v>36</v>
      </c>
    </row>
    <row r="27">
      <c r="A27" s="20" t="s">
        <v>22</v>
      </c>
      <c r="B27" s="20" t="s">
        <v>68</v>
      </c>
      <c r="C27" s="20" t="s">
        <v>174</v>
      </c>
      <c r="D27" s="20">
        <v>120.0</v>
      </c>
      <c r="E27" s="20" t="s">
        <v>89</v>
      </c>
      <c r="F27" s="20" t="s">
        <v>30</v>
      </c>
      <c r="G27" s="20">
        <v>7.0</v>
      </c>
      <c r="H27" s="20">
        <f>vlookup(G27,Superbowls!$A$2:$B$115,2,FALSE)</f>
        <v>2017</v>
      </c>
      <c r="I27" s="28" t="s">
        <v>36</v>
      </c>
    </row>
    <row r="28">
      <c r="A28" s="20" t="s">
        <v>22</v>
      </c>
      <c r="B28" s="20" t="s">
        <v>189</v>
      </c>
      <c r="C28" s="20" t="s">
        <v>190</v>
      </c>
      <c r="D28" s="20">
        <v>114.0</v>
      </c>
      <c r="E28" s="20" t="s">
        <v>114</v>
      </c>
      <c r="F28" s="20" t="s">
        <v>42</v>
      </c>
      <c r="G28" s="20">
        <v>7.0</v>
      </c>
      <c r="H28" s="20">
        <f>vlookup(G28,Superbowls!$A$2:$B$115,2,FALSE)</f>
        <v>2017</v>
      </c>
      <c r="I28" s="28" t="s">
        <v>36</v>
      </c>
    </row>
    <row r="29">
      <c r="A29" s="20" t="s">
        <v>31</v>
      </c>
      <c r="B29" s="20" t="s">
        <v>148</v>
      </c>
      <c r="C29" s="20" t="s">
        <v>33</v>
      </c>
      <c r="D29" s="20">
        <v>108.0</v>
      </c>
      <c r="E29" s="20" t="s">
        <v>89</v>
      </c>
      <c r="F29" s="20" t="s">
        <v>30</v>
      </c>
      <c r="G29" s="20">
        <v>7.0</v>
      </c>
      <c r="H29" s="20">
        <f>vlookup(G29,Superbowls!$A$2:$B$115,2,FALSE)</f>
        <v>2017</v>
      </c>
      <c r="I29" s="28" t="s">
        <v>36</v>
      </c>
    </row>
    <row r="30">
      <c r="A30" s="20" t="s">
        <v>31</v>
      </c>
      <c r="B30" s="20" t="s">
        <v>199</v>
      </c>
      <c r="C30" s="20" t="s">
        <v>142</v>
      </c>
      <c r="D30" s="20">
        <v>210.0</v>
      </c>
      <c r="E30" s="20" t="s">
        <v>131</v>
      </c>
      <c r="F30" s="20" t="s">
        <v>30</v>
      </c>
      <c r="G30" s="20">
        <v>8.0</v>
      </c>
      <c r="H30" s="20">
        <f>vlookup(G30,Superbowls!$A$2:$B$115,2,FALSE)</f>
        <v>2017</v>
      </c>
      <c r="I30" s="28" t="s">
        <v>36</v>
      </c>
    </row>
    <row r="31">
      <c r="A31" s="20" t="s">
        <v>31</v>
      </c>
      <c r="B31" s="20" t="s">
        <v>48</v>
      </c>
      <c r="C31" s="20" t="s">
        <v>215</v>
      </c>
      <c r="D31" s="20">
        <v>180.0</v>
      </c>
      <c r="E31" s="20" t="s">
        <v>78</v>
      </c>
      <c r="F31" s="20" t="s">
        <v>42</v>
      </c>
      <c r="G31" s="20">
        <v>8.0</v>
      </c>
      <c r="H31" s="20">
        <f>vlookup(G31,Superbowls!$A$2:$B$115,2,FALSE)</f>
        <v>2017</v>
      </c>
      <c r="I31" s="28" t="s">
        <v>36</v>
      </c>
    </row>
    <row r="32">
      <c r="A32" s="20" t="s">
        <v>31</v>
      </c>
      <c r="B32" s="20" t="s">
        <v>115</v>
      </c>
      <c r="C32" s="20" t="s">
        <v>33</v>
      </c>
      <c r="D32" s="20">
        <v>174.0</v>
      </c>
      <c r="E32" s="20" t="s">
        <v>79</v>
      </c>
      <c r="F32" s="20" t="s">
        <v>71</v>
      </c>
      <c r="G32" s="20">
        <v>8.0</v>
      </c>
      <c r="H32" s="20">
        <f>vlookup(G32,Superbowls!$A$2:$B$115,2,FALSE)</f>
        <v>2017</v>
      </c>
      <c r="I32" s="28" t="s">
        <v>36</v>
      </c>
    </row>
    <row r="33">
      <c r="A33" s="20" t="s">
        <v>22</v>
      </c>
      <c r="B33" s="20" t="s">
        <v>136</v>
      </c>
      <c r="C33" s="20" t="s">
        <v>137</v>
      </c>
      <c r="D33" s="20">
        <v>156.0</v>
      </c>
      <c r="E33" s="20" t="s">
        <v>107</v>
      </c>
      <c r="F33" s="20" t="s">
        <v>63</v>
      </c>
      <c r="G33" s="20">
        <v>8.0</v>
      </c>
      <c r="H33" s="20">
        <f>vlookup(G33,Superbowls!$A$2:$B$115,2,FALSE)</f>
        <v>2017</v>
      </c>
      <c r="I33" s="28" t="s">
        <v>36</v>
      </c>
    </row>
    <row r="34">
      <c r="A34" s="20" t="s">
        <v>22</v>
      </c>
      <c r="B34" s="20" t="s">
        <v>68</v>
      </c>
      <c r="C34" s="20" t="s">
        <v>82</v>
      </c>
      <c r="D34" s="20">
        <v>102.0</v>
      </c>
      <c r="E34" s="20" t="s">
        <v>79</v>
      </c>
      <c r="F34" s="20" t="s">
        <v>71</v>
      </c>
      <c r="G34" s="20">
        <v>8.0</v>
      </c>
      <c r="H34" s="20">
        <f>vlookup(G34,Superbowls!$A$2:$B$115,2,FALSE)</f>
        <v>2017</v>
      </c>
      <c r="I34" s="28" t="s">
        <v>36</v>
      </c>
    </row>
    <row r="35">
      <c r="A35" s="20" t="s">
        <v>22</v>
      </c>
      <c r="B35" s="20" t="s">
        <v>74</v>
      </c>
      <c r="C35" s="20" t="s">
        <v>75</v>
      </c>
      <c r="D35" s="20">
        <v>102.0</v>
      </c>
      <c r="E35" s="20" t="s">
        <v>78</v>
      </c>
      <c r="F35" s="20" t="s">
        <v>42</v>
      </c>
      <c r="G35" s="20">
        <v>8.0</v>
      </c>
      <c r="H35" s="20">
        <f>vlookup(G35,Superbowls!$A$2:$B$115,2,FALSE)</f>
        <v>2017</v>
      </c>
      <c r="I35" s="28" t="s">
        <v>36</v>
      </c>
    </row>
    <row r="36">
      <c r="A36" s="20" t="s">
        <v>22</v>
      </c>
      <c r="B36" s="20" t="s">
        <v>299</v>
      </c>
      <c r="C36" s="20" t="s">
        <v>299</v>
      </c>
      <c r="D36" s="20">
        <v>96.0</v>
      </c>
      <c r="E36" s="20" t="s">
        <v>124</v>
      </c>
      <c r="F36" s="20" t="s">
        <v>35</v>
      </c>
      <c r="G36" s="20">
        <v>8.0</v>
      </c>
      <c r="H36" s="20">
        <f>vlookup(G36,Superbowls!$A$2:$B$115,2,FALSE)</f>
        <v>2017</v>
      </c>
      <c r="I36" s="28" t="s">
        <v>36</v>
      </c>
    </row>
    <row r="37">
      <c r="A37" s="20" t="s">
        <v>31</v>
      </c>
      <c r="B37" s="20" t="s">
        <v>216</v>
      </c>
      <c r="C37" s="20" t="s">
        <v>217</v>
      </c>
      <c r="D37" s="20">
        <v>90.0</v>
      </c>
      <c r="E37" s="20" t="s">
        <v>107</v>
      </c>
      <c r="F37" s="20" t="s">
        <v>63</v>
      </c>
      <c r="G37" s="20">
        <v>8.0</v>
      </c>
      <c r="H37" s="20">
        <f>vlookup(G37,Superbowls!$A$2:$B$115,2,FALSE)</f>
        <v>2017</v>
      </c>
      <c r="I37" s="28" t="s">
        <v>36</v>
      </c>
    </row>
    <row r="38">
      <c r="A38" s="20" t="s">
        <v>22</v>
      </c>
      <c r="B38" s="20" t="s">
        <v>87</v>
      </c>
      <c r="C38" s="20" t="s">
        <v>88</v>
      </c>
      <c r="D38" s="20">
        <v>246.0</v>
      </c>
      <c r="E38" s="20" t="s">
        <v>90</v>
      </c>
      <c r="F38" s="20" t="s">
        <v>30</v>
      </c>
      <c r="G38" s="27">
        <v>9.0</v>
      </c>
      <c r="H38" s="20">
        <f>vlookup(G38,Superbowls!$A$2:$B$115,2,FALSE)</f>
        <v>2017</v>
      </c>
      <c r="I38" s="28" t="s">
        <v>36</v>
      </c>
    </row>
    <row r="39">
      <c r="A39" s="20" t="s">
        <v>22</v>
      </c>
      <c r="B39" s="20" t="s">
        <v>91</v>
      </c>
      <c r="C39" s="20" t="s">
        <v>92</v>
      </c>
      <c r="D39" s="20">
        <v>228.0</v>
      </c>
      <c r="E39" s="20" t="s">
        <v>93</v>
      </c>
      <c r="F39" s="20" t="s">
        <v>42</v>
      </c>
      <c r="G39" s="27">
        <v>9.0</v>
      </c>
      <c r="H39" s="20">
        <f>vlookup(G39,Superbowls!$A$2:$B$115,2,FALSE)</f>
        <v>2017</v>
      </c>
      <c r="I39" s="28" t="s">
        <v>36</v>
      </c>
    </row>
    <row r="40">
      <c r="A40" s="20" t="s">
        <v>31</v>
      </c>
      <c r="B40" s="20" t="s">
        <v>234</v>
      </c>
      <c r="C40" s="20" t="s">
        <v>235</v>
      </c>
      <c r="D40" s="20">
        <v>144.0</v>
      </c>
      <c r="E40" s="20" t="s">
        <v>101</v>
      </c>
      <c r="F40" s="20" t="s">
        <v>71</v>
      </c>
      <c r="G40" s="27">
        <v>9.0</v>
      </c>
      <c r="H40" s="20">
        <f>vlookup(G40,Superbowls!$A$2:$B$115,2,FALSE)</f>
        <v>2017</v>
      </c>
      <c r="I40" s="28" t="s">
        <v>36</v>
      </c>
    </row>
    <row r="41">
      <c r="A41" s="20" t="s">
        <v>22</v>
      </c>
      <c r="B41" s="20" t="s">
        <v>96</v>
      </c>
      <c r="C41" s="20" t="s">
        <v>98</v>
      </c>
      <c r="D41" s="20">
        <v>150.0</v>
      </c>
      <c r="E41" s="20" t="s">
        <v>101</v>
      </c>
      <c r="F41" s="20" t="s">
        <v>71</v>
      </c>
      <c r="G41" s="27">
        <v>9.0</v>
      </c>
      <c r="H41" s="20">
        <f>vlookup(G41,Superbowls!$A$2:$B$115,2,FALSE)</f>
        <v>2017</v>
      </c>
      <c r="I41" s="28" t="s">
        <v>36</v>
      </c>
    </row>
    <row r="42">
      <c r="A42" s="20" t="s">
        <v>31</v>
      </c>
      <c r="B42" s="20" t="s">
        <v>237</v>
      </c>
      <c r="C42" s="20" t="s">
        <v>238</v>
      </c>
      <c r="D42" s="20">
        <v>276.0</v>
      </c>
      <c r="E42" s="20" t="s">
        <v>156</v>
      </c>
      <c r="F42" s="20" t="s">
        <v>12</v>
      </c>
      <c r="G42" s="27">
        <v>10.0</v>
      </c>
      <c r="H42" s="20">
        <f>vlookup(G42,Superbowls!$A$2:$B$115,2,FALSE)</f>
        <v>2018</v>
      </c>
      <c r="I42" s="28" t="s">
        <v>36</v>
      </c>
    </row>
    <row r="43">
      <c r="A43" s="20" t="s">
        <v>31</v>
      </c>
      <c r="B43" s="20" t="s">
        <v>159</v>
      </c>
      <c r="C43" s="20" t="s">
        <v>160</v>
      </c>
      <c r="D43" s="20">
        <v>276.0</v>
      </c>
      <c r="E43" s="20" t="s">
        <v>54</v>
      </c>
      <c r="F43" s="20" t="s">
        <v>42</v>
      </c>
      <c r="G43" s="27">
        <v>10.0</v>
      </c>
      <c r="H43" s="20">
        <f>vlookup(G43,Superbowls!$A$2:$B$115,2,FALSE)</f>
        <v>2018</v>
      </c>
      <c r="I43" s="28" t="s">
        <v>36</v>
      </c>
    </row>
    <row r="44">
      <c r="A44" s="20" t="s">
        <v>22</v>
      </c>
      <c r="B44" s="20" t="s">
        <v>24</v>
      </c>
      <c r="C44" s="20" t="s">
        <v>26</v>
      </c>
      <c r="D44" s="20">
        <v>270.0</v>
      </c>
      <c r="E44" s="20" t="s">
        <v>34</v>
      </c>
      <c r="F44" s="20" t="s">
        <v>35</v>
      </c>
      <c r="G44" s="27">
        <v>10.0</v>
      </c>
      <c r="H44" s="20">
        <f>vlookup(G44,Superbowls!$A$2:$B$115,2,FALSE)</f>
        <v>2018</v>
      </c>
      <c r="I44" s="28" t="s">
        <v>36</v>
      </c>
    </row>
    <row r="45">
      <c r="A45" s="20" t="s">
        <v>22</v>
      </c>
      <c r="B45" s="20" t="s">
        <v>176</v>
      </c>
      <c r="C45" s="20" t="s">
        <v>113</v>
      </c>
      <c r="D45" s="20">
        <v>204.0</v>
      </c>
      <c r="E45" s="20" t="s">
        <v>89</v>
      </c>
      <c r="F45" s="20" t="s">
        <v>71</v>
      </c>
      <c r="G45" s="27">
        <v>10.0</v>
      </c>
      <c r="H45" s="20">
        <f>vlookup(G45,Superbowls!$A$2:$B$115,2,FALSE)</f>
        <v>2018</v>
      </c>
      <c r="I45" s="28" t="s">
        <v>36</v>
      </c>
    </row>
    <row r="46">
      <c r="A46" s="20" t="s">
        <v>31</v>
      </c>
      <c r="B46" s="20" t="s">
        <v>141</v>
      </c>
      <c r="C46" s="20" t="s">
        <v>142</v>
      </c>
      <c r="D46" s="20">
        <v>192.0</v>
      </c>
      <c r="E46" s="20" t="s">
        <v>81</v>
      </c>
      <c r="F46" s="20" t="s">
        <v>63</v>
      </c>
      <c r="G46" s="27">
        <v>10.0</v>
      </c>
      <c r="H46" s="20">
        <f>vlookup(G46,Superbowls!$A$2:$B$115,2,FALSE)</f>
        <v>2018</v>
      </c>
      <c r="I46" s="28" t="s">
        <v>36</v>
      </c>
    </row>
    <row r="47">
      <c r="A47" s="20" t="s">
        <v>22</v>
      </c>
      <c r="B47" s="20" t="s">
        <v>96</v>
      </c>
      <c r="C47" s="20" t="s">
        <v>165</v>
      </c>
      <c r="D47" s="20">
        <v>192.0</v>
      </c>
      <c r="E47" s="20" t="s">
        <v>81</v>
      </c>
      <c r="F47" s="20" t="s">
        <v>63</v>
      </c>
      <c r="G47" s="27">
        <v>10.0</v>
      </c>
      <c r="H47" s="20">
        <f>vlookup(G47,Superbowls!$A$2:$B$115,2,FALSE)</f>
        <v>2018</v>
      </c>
      <c r="I47" s="28" t="s">
        <v>36</v>
      </c>
    </row>
    <row r="48">
      <c r="A48" s="20" t="s">
        <v>21</v>
      </c>
      <c r="B48" s="20" t="s">
        <v>61</v>
      </c>
      <c r="C48" s="20" t="s">
        <v>21</v>
      </c>
      <c r="D48" s="20">
        <v>138.0</v>
      </c>
      <c r="E48" s="20" t="s">
        <v>62</v>
      </c>
      <c r="F48" s="20" t="s">
        <v>30</v>
      </c>
      <c r="G48" s="27">
        <v>10.0</v>
      </c>
      <c r="H48" s="20">
        <f>vlookup(G48,Superbowls!$A$2:$B$115,2,FALSE)</f>
        <v>2018</v>
      </c>
      <c r="I48" s="28" t="s">
        <v>36</v>
      </c>
    </row>
    <row r="49">
      <c r="A49" s="20" t="s">
        <v>31</v>
      </c>
      <c r="B49" s="20" t="s">
        <v>308</v>
      </c>
      <c r="C49" s="14"/>
      <c r="D49" s="20">
        <v>114.0</v>
      </c>
      <c r="E49" s="20" t="s">
        <v>62</v>
      </c>
      <c r="F49" s="20" t="s">
        <v>30</v>
      </c>
      <c r="G49" s="27">
        <v>10.0</v>
      </c>
      <c r="H49" s="20">
        <f>vlookup(G49,Superbowls!$A$2:$B$115,2,FALSE)</f>
        <v>2018</v>
      </c>
      <c r="I49" s="28" t="s">
        <v>36</v>
      </c>
    </row>
    <row r="50">
      <c r="A50" s="20" t="s">
        <v>22</v>
      </c>
      <c r="B50" s="20" t="s">
        <v>55</v>
      </c>
      <c r="C50" s="20" t="s">
        <v>56</v>
      </c>
      <c r="D50" s="20">
        <v>198.0</v>
      </c>
      <c r="E50" s="20" t="s">
        <v>57</v>
      </c>
      <c r="F50" s="20" t="s">
        <v>71</v>
      </c>
      <c r="G50" s="27">
        <v>11.0</v>
      </c>
      <c r="H50" s="20">
        <f>vlookup(G50,Superbowls!$A$2:$B$115,2,FALSE)</f>
        <v>2019</v>
      </c>
      <c r="I50" s="28" t="s">
        <v>36</v>
      </c>
    </row>
    <row r="51">
      <c r="A51" s="20" t="s">
        <v>31</v>
      </c>
      <c r="B51" s="20" t="s">
        <v>249</v>
      </c>
      <c r="C51" s="20" t="s">
        <v>33</v>
      </c>
      <c r="D51" s="20">
        <v>120.0</v>
      </c>
      <c r="E51" s="20" t="s">
        <v>29</v>
      </c>
      <c r="F51" s="20" t="s">
        <v>42</v>
      </c>
      <c r="G51" s="27">
        <v>11.0</v>
      </c>
      <c r="H51" s="20">
        <f>vlookup(G51,Superbowls!$A$2:$B$115,2,FALSE)</f>
        <v>2019</v>
      </c>
      <c r="I51" s="28" t="s">
        <v>36</v>
      </c>
    </row>
    <row r="52">
      <c r="A52" s="20" t="s">
        <v>31</v>
      </c>
      <c r="B52" s="20" t="s">
        <v>50</v>
      </c>
      <c r="C52" s="20" t="s">
        <v>267</v>
      </c>
      <c r="D52" s="20">
        <v>114.0</v>
      </c>
      <c r="E52" s="20" t="s">
        <v>57</v>
      </c>
      <c r="F52" s="20" t="s">
        <v>71</v>
      </c>
      <c r="G52" s="27">
        <v>11.0</v>
      </c>
      <c r="H52" s="20">
        <f>vlookup(G52,Superbowls!$A$2:$B$115,2,FALSE)</f>
        <v>2019</v>
      </c>
      <c r="I52" s="28" t="s">
        <v>36</v>
      </c>
    </row>
    <row r="53">
      <c r="A53" s="20" t="s">
        <v>65</v>
      </c>
      <c r="B53" s="20" t="s">
        <v>247</v>
      </c>
      <c r="C53" s="20" t="s">
        <v>46</v>
      </c>
      <c r="D53" s="20">
        <v>114.0</v>
      </c>
      <c r="E53" s="20" t="s">
        <v>112</v>
      </c>
      <c r="F53" s="20" t="s">
        <v>30</v>
      </c>
      <c r="G53" s="27">
        <v>11.0</v>
      </c>
      <c r="H53" s="20">
        <f>vlookup(G53,Superbowls!$A$2:$B$115,2,FALSE)</f>
        <v>2019</v>
      </c>
      <c r="I53" s="28" t="s">
        <v>36</v>
      </c>
    </row>
    <row r="54">
      <c r="A54" s="20" t="s">
        <v>22</v>
      </c>
      <c r="B54" s="20" t="s">
        <v>37</v>
      </c>
      <c r="C54" s="20" t="s">
        <v>184</v>
      </c>
      <c r="D54" s="20">
        <v>108.0</v>
      </c>
      <c r="E54" s="20" t="s">
        <v>29</v>
      </c>
      <c r="F54" s="20" t="s">
        <v>42</v>
      </c>
      <c r="G54" s="27">
        <v>11.0</v>
      </c>
      <c r="H54" s="20">
        <f>vlookup(G54,Superbowls!$A$2:$B$115,2,FALSE)</f>
        <v>2019</v>
      </c>
      <c r="I54" s="28" t="s">
        <v>36</v>
      </c>
    </row>
    <row r="55">
      <c r="A55" s="20" t="s">
        <v>22</v>
      </c>
      <c r="B55" s="20" t="s">
        <v>108</v>
      </c>
      <c r="C55" s="20" t="s">
        <v>109</v>
      </c>
      <c r="D55" s="20">
        <v>102.0</v>
      </c>
      <c r="E55" s="20" t="s">
        <v>112</v>
      </c>
      <c r="F55" s="20" t="s">
        <v>30</v>
      </c>
      <c r="G55" s="27">
        <v>11.0</v>
      </c>
      <c r="H55" s="20">
        <f>vlookup(G55,Superbowls!$A$2:$B$115,2,FALSE)</f>
        <v>2019</v>
      </c>
      <c r="I55" s="28" t="s">
        <v>36</v>
      </c>
    </row>
    <row r="56">
      <c r="A56" s="20" t="s">
        <v>22</v>
      </c>
      <c r="B56" s="20" t="s">
        <v>118</v>
      </c>
      <c r="C56" s="20" t="s">
        <v>119</v>
      </c>
      <c r="D56" s="20">
        <v>156.0</v>
      </c>
      <c r="E56" s="20" t="s">
        <v>121</v>
      </c>
      <c r="F56" s="20" t="s">
        <v>63</v>
      </c>
      <c r="G56" s="20">
        <v>12.0</v>
      </c>
      <c r="H56" s="20">
        <f>vlookup(G56,Superbowls!$A$2:$B$115,2,FALSE)</f>
        <v>2020</v>
      </c>
      <c r="I56" s="28" t="s">
        <v>36</v>
      </c>
    </row>
    <row r="57">
      <c r="A57" s="20" t="s">
        <v>22</v>
      </c>
      <c r="B57" s="20" t="s">
        <v>312</v>
      </c>
      <c r="C57" s="20" t="s">
        <v>313</v>
      </c>
      <c r="D57" s="20">
        <v>102.0</v>
      </c>
      <c r="E57" s="20" t="s">
        <v>41</v>
      </c>
      <c r="F57" s="20" t="s">
        <v>71</v>
      </c>
      <c r="G57" s="20">
        <v>12.0</v>
      </c>
      <c r="H57" s="20">
        <f>vlookup(G57,Superbowls!$A$2:$B$115,2,FALSE)</f>
        <v>2020</v>
      </c>
      <c r="I57" s="28" t="s">
        <v>36</v>
      </c>
    </row>
    <row r="58">
      <c r="A58" s="20" t="s">
        <v>22</v>
      </c>
      <c r="B58" s="20" t="s">
        <v>116</v>
      </c>
      <c r="C58" s="20" t="s">
        <v>117</v>
      </c>
      <c r="D58" s="20">
        <v>102.0</v>
      </c>
      <c r="E58" s="20" t="s">
        <v>161</v>
      </c>
      <c r="F58" s="20" t="s">
        <v>42</v>
      </c>
      <c r="G58" s="20">
        <v>12.0</v>
      </c>
      <c r="H58" s="20">
        <f>vlookup(G58,Superbowls!$A$2:$B$115,2,FALSE)</f>
        <v>2020</v>
      </c>
      <c r="I58" s="28" t="s">
        <v>36</v>
      </c>
    </row>
    <row r="59">
      <c r="A59" s="20" t="s">
        <v>250</v>
      </c>
      <c r="B59" s="20" t="s">
        <v>314</v>
      </c>
      <c r="C59" s="14"/>
      <c r="D59" s="20">
        <v>100.0</v>
      </c>
      <c r="E59" s="20" t="s">
        <v>101</v>
      </c>
      <c r="F59" s="20" t="s">
        <v>30</v>
      </c>
      <c r="G59" s="20">
        <v>12.0</v>
      </c>
      <c r="H59" s="20">
        <f>vlookup(G59,Superbowls!$A$2:$B$115,2,FALSE)</f>
        <v>2020</v>
      </c>
      <c r="I59" s="28" t="s">
        <v>36</v>
      </c>
    </row>
    <row r="60">
      <c r="A60" s="20" t="s">
        <v>22</v>
      </c>
      <c r="B60" s="20" t="s">
        <v>24</v>
      </c>
      <c r="C60" s="20" t="s">
        <v>26</v>
      </c>
      <c r="D60" s="20">
        <f>70*6</f>
        <v>420</v>
      </c>
      <c r="E60" s="20" t="s">
        <v>34</v>
      </c>
      <c r="F60" s="20" t="s">
        <v>30</v>
      </c>
      <c r="G60" s="20">
        <v>13.0</v>
      </c>
      <c r="H60" s="20">
        <f>vlookup(G60,Superbowls!$A$2:$B$115,2,FALSE)</f>
        <v>2021</v>
      </c>
      <c r="I60" s="28" t="s">
        <v>36</v>
      </c>
    </row>
    <row r="61">
      <c r="A61" s="20" t="s">
        <v>31</v>
      </c>
      <c r="B61" s="20" t="s">
        <v>32</v>
      </c>
      <c r="C61" s="20" t="s">
        <v>33</v>
      </c>
      <c r="D61" s="20">
        <v>336.0</v>
      </c>
      <c r="E61" s="20" t="s">
        <v>29</v>
      </c>
      <c r="F61" s="20" t="s">
        <v>71</v>
      </c>
      <c r="G61" s="20">
        <v>13.0</v>
      </c>
      <c r="H61" s="20">
        <f>vlookup(G61,Superbowls!$A$2:$B$115,2,FALSE)</f>
        <v>2021</v>
      </c>
      <c r="I61" s="28" t="s">
        <v>36</v>
      </c>
    </row>
    <row r="62">
      <c r="A62" s="20" t="s">
        <v>21</v>
      </c>
      <c r="B62" s="20" t="s">
        <v>61</v>
      </c>
      <c r="C62" s="20" t="s">
        <v>21</v>
      </c>
      <c r="D62" s="20">
        <v>270.0</v>
      </c>
      <c r="E62" s="20" t="s">
        <v>62</v>
      </c>
      <c r="F62" s="20" t="s">
        <v>42</v>
      </c>
      <c r="G62" s="20">
        <v>13.0</v>
      </c>
      <c r="H62" s="20">
        <f>vlookup(G62,Superbowls!$A$2:$B$115,2,FALSE)</f>
        <v>2021</v>
      </c>
      <c r="I62" s="28" t="s">
        <v>36</v>
      </c>
    </row>
    <row r="63">
      <c r="A63" s="20" t="s">
        <v>65</v>
      </c>
      <c r="B63" s="20" t="s">
        <v>306</v>
      </c>
      <c r="C63" s="20" t="s">
        <v>59</v>
      </c>
      <c r="D63" s="20">
        <v>150.0</v>
      </c>
      <c r="E63" s="20" t="s">
        <v>29</v>
      </c>
      <c r="F63" s="20" t="s">
        <v>71</v>
      </c>
      <c r="G63" s="20">
        <v>13.0</v>
      </c>
      <c r="H63" s="20">
        <f>vlookup(G63,Superbowls!$A$2:$B$115,2,FALSE)</f>
        <v>2021</v>
      </c>
      <c r="I63" s="28" t="s">
        <v>36</v>
      </c>
    </row>
    <row r="64">
      <c r="A64" s="20" t="s">
        <v>250</v>
      </c>
      <c r="B64" s="20" t="s">
        <v>251</v>
      </c>
      <c r="C64" s="20" t="s">
        <v>95</v>
      </c>
      <c r="D64" s="20">
        <v>114.0</v>
      </c>
      <c r="E64" s="20" t="s">
        <v>29</v>
      </c>
      <c r="F64" s="20" t="s">
        <v>71</v>
      </c>
      <c r="G64" s="20">
        <v>13.0</v>
      </c>
      <c r="H64" s="20">
        <f>vlookup(G64,Superbowls!$A$2:$B$115,2,FALSE)</f>
        <v>2021</v>
      </c>
      <c r="I64" s="28" t="s">
        <v>36</v>
      </c>
    </row>
    <row r="65">
      <c r="A65" s="20" t="s">
        <v>250</v>
      </c>
      <c r="B65" s="20" t="s">
        <v>322</v>
      </c>
      <c r="C65" s="20" t="s">
        <v>138</v>
      </c>
      <c r="D65" s="20">
        <v>113.0</v>
      </c>
      <c r="E65" s="20" t="s">
        <v>34</v>
      </c>
      <c r="F65" s="20" t="s">
        <v>30</v>
      </c>
      <c r="G65" s="20">
        <v>13.0</v>
      </c>
      <c r="H65" s="20">
        <f>vlookup(G65,Superbowls!$A$2:$B$115,2,FALSE)</f>
        <v>2021</v>
      </c>
      <c r="I65" s="28" t="s">
        <v>36</v>
      </c>
    </row>
    <row r="66">
      <c r="A66" s="20" t="s">
        <v>22</v>
      </c>
      <c r="B66" s="20" t="s">
        <v>55</v>
      </c>
      <c r="C66" s="20" t="s">
        <v>56</v>
      </c>
      <c r="D66" s="20">
        <v>210.0</v>
      </c>
      <c r="E66" s="20" t="s">
        <v>57</v>
      </c>
      <c r="F66" s="20" t="s">
        <v>71</v>
      </c>
      <c r="G66" s="20">
        <v>14.0</v>
      </c>
      <c r="H66" s="20">
        <f>vlookup(G66,Superbowls!$A$2:$B$115,2,FALSE)</f>
        <v>2022</v>
      </c>
      <c r="I66" s="28" t="s">
        <v>36</v>
      </c>
    </row>
    <row r="67">
      <c r="A67" s="20" t="s">
        <v>22</v>
      </c>
      <c r="B67" s="20" t="s">
        <v>136</v>
      </c>
      <c r="C67" s="20" t="s">
        <v>137</v>
      </c>
      <c r="D67" s="20">
        <v>198.0</v>
      </c>
      <c r="E67" s="20" t="s">
        <v>107</v>
      </c>
      <c r="F67" s="20" t="s">
        <v>107</v>
      </c>
      <c r="G67" s="20">
        <v>14.0</v>
      </c>
      <c r="H67" s="20">
        <f>vlookup(G67,Superbowls!$A$2:$B$115,2,FALSE)</f>
        <v>2022</v>
      </c>
      <c r="I67" s="28" t="s">
        <v>36</v>
      </c>
    </row>
    <row r="68">
      <c r="A68" s="20" t="s">
        <v>22</v>
      </c>
      <c r="B68" s="20" t="s">
        <v>118</v>
      </c>
      <c r="C68" s="20" t="s">
        <v>119</v>
      </c>
      <c r="D68" s="20">
        <v>108.0</v>
      </c>
      <c r="E68" s="20" t="s">
        <v>121</v>
      </c>
      <c r="F68" s="20" t="s">
        <v>63</v>
      </c>
      <c r="G68" s="20">
        <v>14.0</v>
      </c>
      <c r="H68" s="20">
        <f>vlookup(G68,Superbowls!$A$2:$B$115,2,FALSE)</f>
        <v>2022</v>
      </c>
      <c r="I68" s="28" t="s">
        <v>36</v>
      </c>
    </row>
    <row r="69">
      <c r="A69" s="20" t="s">
        <v>31</v>
      </c>
      <c r="B69" s="20" t="s">
        <v>50</v>
      </c>
      <c r="C69" s="20" t="s">
        <v>267</v>
      </c>
      <c r="D69" s="20">
        <v>96.0</v>
      </c>
      <c r="E69" s="20" t="s">
        <v>57</v>
      </c>
      <c r="F69" s="20" t="s">
        <v>71</v>
      </c>
      <c r="G69" s="20">
        <v>14.0</v>
      </c>
      <c r="H69" s="20">
        <f>vlookup(G69,Superbowls!$A$2:$B$115,2,FALSE)</f>
        <v>2022</v>
      </c>
      <c r="I69" s="28" t="s">
        <v>36</v>
      </c>
    </row>
    <row r="70">
      <c r="A70" s="20" t="s">
        <v>250</v>
      </c>
      <c r="B70" s="20" t="s">
        <v>328</v>
      </c>
      <c r="C70" s="20" t="s">
        <v>329</v>
      </c>
      <c r="D70" s="20">
        <v>95.0</v>
      </c>
      <c r="E70" s="20" t="s">
        <v>57</v>
      </c>
      <c r="F70" s="20" t="s">
        <v>71</v>
      </c>
      <c r="G70" s="20">
        <v>14.0</v>
      </c>
      <c r="H70" s="20">
        <f>vlookup(G70,Superbowls!$A$2:$B$115,2,FALSE)</f>
        <v>2022</v>
      </c>
      <c r="I70" s="28" t="s">
        <v>36</v>
      </c>
    </row>
    <row r="71">
      <c r="A71" s="20" t="s">
        <v>31</v>
      </c>
      <c r="B71" s="20" t="s">
        <v>178</v>
      </c>
      <c r="C71" s="20" t="s">
        <v>292</v>
      </c>
      <c r="D71" s="20">
        <v>90.0</v>
      </c>
      <c r="E71" s="20" t="s">
        <v>121</v>
      </c>
      <c r="F71" s="20" t="s">
        <v>63</v>
      </c>
      <c r="G71" s="20">
        <v>14.0</v>
      </c>
      <c r="H71" s="20">
        <f>vlookup(G71,Superbowls!$A$2:$B$115,2,FALSE)</f>
        <v>2022</v>
      </c>
      <c r="I71" s="28" t="s">
        <v>36</v>
      </c>
    </row>
    <row r="72">
      <c r="A72" s="20" t="s">
        <v>22</v>
      </c>
      <c r="B72" s="20" t="s">
        <v>68</v>
      </c>
      <c r="C72" s="20" t="s">
        <v>69</v>
      </c>
      <c r="D72" s="20">
        <v>222.0</v>
      </c>
      <c r="E72" s="20" t="s">
        <v>70</v>
      </c>
      <c r="F72" s="20" t="s">
        <v>71</v>
      </c>
      <c r="G72" s="20">
        <v>15.0</v>
      </c>
      <c r="H72" s="20">
        <f>vlookup(G72,Superbowls!$A$2:$B$115,2,FALSE)</f>
        <v>2023</v>
      </c>
      <c r="I72" s="28" t="s">
        <v>36</v>
      </c>
    </row>
    <row r="73">
      <c r="A73" s="20" t="s">
        <v>22</v>
      </c>
      <c r="B73" s="20" t="s">
        <v>48</v>
      </c>
      <c r="C73" s="20" t="s">
        <v>49</v>
      </c>
      <c r="D73" s="20">
        <v>162.0</v>
      </c>
      <c r="E73" s="20" t="s">
        <v>47</v>
      </c>
      <c r="F73" s="20" t="s">
        <v>42</v>
      </c>
      <c r="G73" s="20">
        <v>15.0</v>
      </c>
      <c r="H73" s="20">
        <f>vlookup(G73,Superbowls!$A$2:$B$115,2,FALSE)</f>
        <v>2023</v>
      </c>
      <c r="I73" s="28" t="s">
        <v>36</v>
      </c>
    </row>
    <row r="74">
      <c r="A74" s="20" t="s">
        <v>22</v>
      </c>
      <c r="B74" s="20" t="s">
        <v>116</v>
      </c>
      <c r="C74" s="20" t="s">
        <v>335</v>
      </c>
      <c r="D74" s="20">
        <v>150.0</v>
      </c>
      <c r="E74" s="20" t="s">
        <v>161</v>
      </c>
      <c r="F74" s="20" t="s">
        <v>30</v>
      </c>
      <c r="G74" s="20">
        <v>15.0</v>
      </c>
      <c r="H74" s="20">
        <f>vlookup(G74,Superbowls!$A$2:$B$115,2,FALSE)</f>
        <v>2023</v>
      </c>
      <c r="I74" s="28" t="s">
        <v>36</v>
      </c>
    </row>
    <row r="75">
      <c r="A75" s="20" t="s">
        <v>250</v>
      </c>
      <c r="B75" s="20" t="s">
        <v>68</v>
      </c>
      <c r="C75" s="20" t="s">
        <v>82</v>
      </c>
      <c r="D75" s="20">
        <v>102.0</v>
      </c>
      <c r="E75" s="20" t="s">
        <v>161</v>
      </c>
      <c r="F75" s="20" t="s">
        <v>30</v>
      </c>
      <c r="G75" s="20">
        <v>15.0</v>
      </c>
      <c r="H75" s="20">
        <f>vlookup(G75,Superbowls!$A$2:$B$115,2,FALSE)</f>
        <v>2023</v>
      </c>
      <c r="I75" s="28" t="s">
        <v>36</v>
      </c>
    </row>
    <row r="76">
      <c r="A76" s="20" t="s">
        <v>22</v>
      </c>
      <c r="B76" s="20" t="s">
        <v>165</v>
      </c>
      <c r="C76" s="20" t="s">
        <v>96</v>
      </c>
      <c r="D76" s="20">
        <v>318.0</v>
      </c>
      <c r="E76" s="20" t="s">
        <v>81</v>
      </c>
      <c r="F76" s="20" t="s">
        <v>30</v>
      </c>
      <c r="G76" s="20">
        <v>16.0</v>
      </c>
      <c r="H76" s="20">
        <v>2024.0</v>
      </c>
      <c r="I76" s="28" t="s">
        <v>36</v>
      </c>
    </row>
    <row r="77">
      <c r="A77" s="20" t="s">
        <v>22</v>
      </c>
      <c r="B77" s="20" t="s">
        <v>176</v>
      </c>
      <c r="C77" s="20" t="s">
        <v>113</v>
      </c>
      <c r="D77" s="20">
        <v>144.0</v>
      </c>
      <c r="E77" s="20" t="s">
        <v>89</v>
      </c>
      <c r="F77" s="20" t="s">
        <v>175</v>
      </c>
      <c r="G77" s="20">
        <v>16.0</v>
      </c>
      <c r="H77" s="20">
        <v>2024.0</v>
      </c>
      <c r="I77" s="28" t="s">
        <v>36</v>
      </c>
    </row>
    <row r="78">
      <c r="A78" s="20" t="s">
        <v>22</v>
      </c>
      <c r="B78" s="20" t="s">
        <v>68</v>
      </c>
      <c r="C78" s="20" t="s">
        <v>174</v>
      </c>
      <c r="D78" s="20">
        <v>138.0</v>
      </c>
      <c r="E78" s="20" t="s">
        <v>89</v>
      </c>
      <c r="F78" s="20" t="s">
        <v>175</v>
      </c>
      <c r="G78" s="20">
        <v>16.0</v>
      </c>
      <c r="H78" s="20">
        <v>2024.0</v>
      </c>
      <c r="I78" s="28" t="s">
        <v>36</v>
      </c>
    </row>
    <row r="79">
      <c r="A79" s="20" t="s">
        <v>22</v>
      </c>
      <c r="B79" s="20" t="s">
        <v>166</v>
      </c>
      <c r="C79" s="20" t="s">
        <v>167</v>
      </c>
      <c r="D79" s="20">
        <v>138.0</v>
      </c>
      <c r="E79" s="20" t="s">
        <v>102</v>
      </c>
      <c r="F79" s="20" t="s">
        <v>63</v>
      </c>
      <c r="G79" s="20">
        <v>16.0</v>
      </c>
      <c r="H79" s="20">
        <v>2024.0</v>
      </c>
      <c r="I79" s="28" t="s">
        <v>36</v>
      </c>
    </row>
    <row r="80">
      <c r="A80" s="20" t="s">
        <v>22</v>
      </c>
      <c r="B80" s="20" t="s">
        <v>178</v>
      </c>
      <c r="C80" s="20" t="s">
        <v>341</v>
      </c>
      <c r="D80" s="20">
        <v>132.0</v>
      </c>
      <c r="E80" s="20" t="s">
        <v>145</v>
      </c>
      <c r="F80" s="20" t="s">
        <v>42</v>
      </c>
      <c r="G80" s="20">
        <v>16.0</v>
      </c>
      <c r="H80" s="20">
        <v>2024.0</v>
      </c>
      <c r="I80" s="28" t="s">
        <v>36</v>
      </c>
    </row>
    <row r="81">
      <c r="A81" s="20" t="s">
        <v>250</v>
      </c>
      <c r="B81" s="20" t="s">
        <v>342</v>
      </c>
      <c r="C81" s="20" t="s">
        <v>343</v>
      </c>
      <c r="D81" s="20">
        <v>107.0</v>
      </c>
      <c r="E81" s="20" t="s">
        <v>81</v>
      </c>
      <c r="F81" s="20" t="s">
        <v>30</v>
      </c>
      <c r="G81" s="20">
        <v>16.0</v>
      </c>
      <c r="H81" s="20">
        <v>2024.0</v>
      </c>
      <c r="I81" s="28" t="s">
        <v>36</v>
      </c>
    </row>
    <row r="82">
      <c r="A82" s="20" t="s">
        <v>31</v>
      </c>
      <c r="B82" s="20" t="s">
        <v>344</v>
      </c>
      <c r="C82" s="20" t="s">
        <v>345</v>
      </c>
      <c r="D82" s="20">
        <v>84.0</v>
      </c>
      <c r="E82" s="20" t="s">
        <v>145</v>
      </c>
      <c r="F82" s="20" t="s">
        <v>42</v>
      </c>
      <c r="G82" s="20">
        <v>16.0</v>
      </c>
      <c r="H82" s="20">
        <v>2024.0</v>
      </c>
      <c r="I82" s="28" t="s">
        <v>36</v>
      </c>
    </row>
    <row r="83">
      <c r="A83" s="20" t="s">
        <v>31</v>
      </c>
      <c r="B83" s="20" t="s">
        <v>148</v>
      </c>
      <c r="C83" s="20" t="s">
        <v>33</v>
      </c>
      <c r="D83" s="20">
        <v>84.0</v>
      </c>
      <c r="E83" s="20" t="s">
        <v>89</v>
      </c>
      <c r="F83" s="20" t="s">
        <v>175</v>
      </c>
      <c r="G83" s="20">
        <v>16.0</v>
      </c>
      <c r="H83" s="20">
        <v>2024.0</v>
      </c>
      <c r="I83" s="28" t="s">
        <v>36</v>
      </c>
    </row>
    <row r="84">
      <c r="A84" s="20" t="s">
        <v>250</v>
      </c>
      <c r="B84" s="20" t="s">
        <v>268</v>
      </c>
      <c r="C84" s="20" t="s">
        <v>269</v>
      </c>
      <c r="D84" s="20">
        <v>82.0</v>
      </c>
      <c r="E84" s="20" t="s">
        <v>89</v>
      </c>
      <c r="F84" s="20" t="s">
        <v>175</v>
      </c>
      <c r="G84" s="20">
        <v>16.0</v>
      </c>
      <c r="H84" s="20">
        <v>2024.0</v>
      </c>
      <c r="I84" s="28" t="s">
        <v>36</v>
      </c>
    </row>
    <row r="85">
      <c r="A85" s="20" t="s">
        <v>65</v>
      </c>
      <c r="B85" s="20" t="s">
        <v>66</v>
      </c>
      <c r="C85" s="20" t="s">
        <v>67</v>
      </c>
      <c r="D85" s="20">
        <v>114.0</v>
      </c>
      <c r="E85" s="20" t="s">
        <v>29</v>
      </c>
      <c r="F85" s="20" t="s">
        <v>35</v>
      </c>
      <c r="G85" s="20">
        <v>17.0</v>
      </c>
      <c r="H85" s="28">
        <v>2025.0</v>
      </c>
      <c r="I85" s="28" t="s">
        <v>36</v>
      </c>
    </row>
    <row r="86">
      <c r="A86" s="20" t="s">
        <v>31</v>
      </c>
      <c r="B86" s="20" t="s">
        <v>141</v>
      </c>
      <c r="C86" s="20" t="s">
        <v>142</v>
      </c>
      <c r="D86" s="20">
        <v>114.0</v>
      </c>
      <c r="E86" s="20" t="s">
        <v>81</v>
      </c>
      <c r="F86" s="20" t="s">
        <v>187</v>
      </c>
      <c r="G86" s="20">
        <v>17.0</v>
      </c>
      <c r="H86" s="28">
        <v>2025.0</v>
      </c>
      <c r="I86" s="28" t="s">
        <v>36</v>
      </c>
    </row>
    <row r="87">
      <c r="A87" s="20" t="s">
        <v>31</v>
      </c>
      <c r="B87" s="20" t="s">
        <v>32</v>
      </c>
      <c r="C87" s="20" t="s">
        <v>33</v>
      </c>
      <c r="D87" s="20">
        <v>102.0</v>
      </c>
      <c r="E87" s="20" t="s">
        <v>29</v>
      </c>
      <c r="F87" s="20" t="s">
        <v>35</v>
      </c>
      <c r="G87" s="20">
        <v>17.0</v>
      </c>
      <c r="H87" s="28">
        <v>2025.0</v>
      </c>
      <c r="I87" s="28" t="s">
        <v>36</v>
      </c>
    </row>
    <row r="88">
      <c r="A88" s="20" t="s">
        <v>22</v>
      </c>
      <c r="B88" s="20" t="s">
        <v>96</v>
      </c>
      <c r="C88" s="20" t="s">
        <v>165</v>
      </c>
      <c r="D88" s="20">
        <v>102.0</v>
      </c>
      <c r="E88" s="20" t="s">
        <v>81</v>
      </c>
      <c r="F88" s="20" t="s">
        <v>187</v>
      </c>
      <c r="G88" s="20">
        <v>17.0</v>
      </c>
      <c r="H88" s="28">
        <v>2025.0</v>
      </c>
      <c r="I88" s="28" t="s">
        <v>36</v>
      </c>
    </row>
    <row r="89">
      <c r="A89" s="20" t="s">
        <v>31</v>
      </c>
      <c r="B89" s="20" t="s">
        <v>249</v>
      </c>
      <c r="C89" s="20" t="s">
        <v>33</v>
      </c>
      <c r="D89" s="20">
        <v>90.0</v>
      </c>
      <c r="E89" s="20" t="s">
        <v>29</v>
      </c>
      <c r="F89" s="20" t="s">
        <v>35</v>
      </c>
      <c r="G89" s="20">
        <v>17.0</v>
      </c>
      <c r="H89" s="28">
        <v>2025.0</v>
      </c>
      <c r="I89" s="28" t="s">
        <v>36</v>
      </c>
    </row>
    <row r="90">
      <c r="A90" s="20" t="s">
        <v>31</v>
      </c>
      <c r="B90" s="20" t="s">
        <v>141</v>
      </c>
      <c r="C90" s="20" t="s">
        <v>142</v>
      </c>
      <c r="D90" s="20">
        <v>156.0</v>
      </c>
      <c r="E90" s="20" t="s">
        <v>81</v>
      </c>
      <c r="F90" s="20" t="s">
        <v>187</v>
      </c>
      <c r="G90" s="20">
        <v>18.0</v>
      </c>
      <c r="H90" s="28">
        <v>2025.0</v>
      </c>
      <c r="I90" s="28" t="s">
        <v>36</v>
      </c>
    </row>
    <row r="91">
      <c r="A91" s="20" t="s">
        <v>31</v>
      </c>
      <c r="B91" s="20" t="s">
        <v>68</v>
      </c>
      <c r="C91" s="20" t="s">
        <v>266</v>
      </c>
      <c r="D91" s="20">
        <v>138.0</v>
      </c>
      <c r="E91" s="20" t="s">
        <v>60</v>
      </c>
      <c r="F91" s="20" t="s">
        <v>35</v>
      </c>
      <c r="G91" s="20">
        <v>18.0</v>
      </c>
      <c r="H91" s="28">
        <v>2025.0</v>
      </c>
      <c r="I91" s="28" t="s">
        <v>36</v>
      </c>
    </row>
    <row r="92">
      <c r="A92" s="20" t="s">
        <v>22</v>
      </c>
      <c r="B92" s="20" t="s">
        <v>82</v>
      </c>
      <c r="C92" s="20" t="s">
        <v>200</v>
      </c>
      <c r="D92" s="20">
        <v>96.0</v>
      </c>
      <c r="E92" s="20" t="s">
        <v>60</v>
      </c>
      <c r="F92" s="20" t="s">
        <v>35</v>
      </c>
      <c r="G92" s="20">
        <v>18.0</v>
      </c>
      <c r="H92" s="28">
        <v>2025.0</v>
      </c>
      <c r="I92" s="28" t="s">
        <v>36</v>
      </c>
    </row>
    <row r="93">
      <c r="A93" s="20" t="s">
        <v>31</v>
      </c>
      <c r="B93" s="20" t="s">
        <v>348</v>
      </c>
      <c r="C93" s="20" t="s">
        <v>109</v>
      </c>
      <c r="D93" s="20">
        <v>90.0</v>
      </c>
      <c r="E93" s="20" t="s">
        <v>81</v>
      </c>
      <c r="F93" s="20" t="s">
        <v>187</v>
      </c>
      <c r="G93" s="20">
        <v>18.0</v>
      </c>
      <c r="H93" s="28">
        <v>2025.0</v>
      </c>
      <c r="I93" s="28" t="s">
        <v>36</v>
      </c>
    </row>
    <row r="94">
      <c r="A94" s="20" t="s">
        <v>22</v>
      </c>
      <c r="B94" s="20" t="s">
        <v>48</v>
      </c>
      <c r="C94" s="20" t="s">
        <v>49</v>
      </c>
      <c r="D94" s="20">
        <v>408.0</v>
      </c>
      <c r="E94" s="20" t="s">
        <v>47</v>
      </c>
      <c r="F94" s="20" t="s">
        <v>35</v>
      </c>
      <c r="G94" s="20">
        <v>19.0</v>
      </c>
      <c r="H94" s="28">
        <v>2025.0</v>
      </c>
      <c r="I94" s="28" t="s">
        <v>36</v>
      </c>
    </row>
    <row r="95">
      <c r="A95" s="20" t="s">
        <v>31</v>
      </c>
      <c r="B95" s="20" t="s">
        <v>141</v>
      </c>
      <c r="C95" s="20" t="s">
        <v>142</v>
      </c>
      <c r="D95" s="20">
        <v>108.0</v>
      </c>
      <c r="E95" s="20" t="s">
        <v>81</v>
      </c>
      <c r="F95" s="20" t="s">
        <v>187</v>
      </c>
      <c r="G95" s="20">
        <v>19.0</v>
      </c>
      <c r="H95" s="28">
        <v>2025.0</v>
      </c>
      <c r="I95" s="28" t="s">
        <v>36</v>
      </c>
    </row>
    <row r="96">
      <c r="A96" s="20" t="s">
        <v>22</v>
      </c>
      <c r="B96" s="20" t="s">
        <v>96</v>
      </c>
      <c r="C96" s="20" t="s">
        <v>165</v>
      </c>
      <c r="D96" s="20">
        <v>102.0</v>
      </c>
      <c r="E96" s="20" t="s">
        <v>81</v>
      </c>
      <c r="F96" s="20" t="s">
        <v>187</v>
      </c>
      <c r="G96" s="20">
        <v>19.0</v>
      </c>
      <c r="H96" s="28">
        <v>2025.0</v>
      </c>
      <c r="I96" s="28" t="s">
        <v>36</v>
      </c>
    </row>
    <row r="97">
      <c r="A97" s="20" t="s">
        <v>22</v>
      </c>
      <c r="B97" s="20" t="s">
        <v>48</v>
      </c>
      <c r="C97" s="20" t="s">
        <v>49</v>
      </c>
      <c r="D97" s="20">
        <v>258.0</v>
      </c>
      <c r="E97" s="20" t="s">
        <v>47</v>
      </c>
      <c r="F97" s="20" t="s">
        <v>30</v>
      </c>
      <c r="G97" s="20">
        <v>20.0</v>
      </c>
      <c r="H97" s="28">
        <v>2025.0</v>
      </c>
      <c r="I97" s="28" t="s">
        <v>36</v>
      </c>
    </row>
    <row r="98">
      <c r="A98" s="20" t="s">
        <v>22</v>
      </c>
      <c r="B98" s="20" t="s">
        <v>105</v>
      </c>
      <c r="C98" s="20" t="s">
        <v>106</v>
      </c>
      <c r="D98" s="20">
        <v>132.0</v>
      </c>
      <c r="E98" s="20" t="s">
        <v>107</v>
      </c>
      <c r="F98" s="20" t="s">
        <v>205</v>
      </c>
      <c r="G98" s="20">
        <v>20.0</v>
      </c>
      <c r="H98" s="28">
        <v>2025.0</v>
      </c>
      <c r="I98" s="28" t="s">
        <v>36</v>
      </c>
    </row>
    <row r="99">
      <c r="A99" s="20" t="s">
        <v>22</v>
      </c>
      <c r="B99" s="20" t="s">
        <v>136</v>
      </c>
      <c r="C99" s="20" t="s">
        <v>137</v>
      </c>
      <c r="D99" s="20">
        <v>96.0</v>
      </c>
      <c r="E99" s="20" t="s">
        <v>107</v>
      </c>
      <c r="F99" s="20" t="s">
        <v>205</v>
      </c>
      <c r="G99" s="20">
        <v>20.0</v>
      </c>
      <c r="H99" s="28">
        <v>2025.0</v>
      </c>
      <c r="I99" s="28" t="s">
        <v>36</v>
      </c>
    </row>
    <row r="100">
      <c r="A100" s="20" t="s">
        <v>250</v>
      </c>
      <c r="B100" s="20" t="s">
        <v>352</v>
      </c>
      <c r="C100" s="20" t="s">
        <v>353</v>
      </c>
      <c r="D100" s="20">
        <v>95.0</v>
      </c>
      <c r="E100" s="20" t="s">
        <v>47</v>
      </c>
      <c r="F100" s="20" t="s">
        <v>30</v>
      </c>
      <c r="G100" s="20">
        <v>20.0</v>
      </c>
      <c r="H100" s="28">
        <v>2025.0</v>
      </c>
      <c r="I100" s="28" t="s">
        <v>36</v>
      </c>
    </row>
    <row r="101">
      <c r="A101" s="20" t="s">
        <v>22</v>
      </c>
      <c r="B101" s="20" t="s">
        <v>118</v>
      </c>
      <c r="C101" s="20" t="s">
        <v>119</v>
      </c>
      <c r="D101" s="20">
        <v>306.0</v>
      </c>
      <c r="E101" s="20" t="s">
        <v>121</v>
      </c>
      <c r="F101" s="20" t="s">
        <v>30</v>
      </c>
      <c r="G101" s="20">
        <v>21.0</v>
      </c>
      <c r="H101" s="28">
        <v>2026.0</v>
      </c>
      <c r="I101" s="28" t="s">
        <v>36</v>
      </c>
    </row>
    <row r="102">
      <c r="A102" s="20" t="s">
        <v>21</v>
      </c>
      <c r="B102" s="20" t="s">
        <v>61</v>
      </c>
      <c r="C102" s="20" t="s">
        <v>21</v>
      </c>
      <c r="D102" s="20">
        <v>120.0</v>
      </c>
      <c r="E102" s="20" t="s">
        <v>62</v>
      </c>
      <c r="F102" s="20" t="s">
        <v>205</v>
      </c>
      <c r="G102" s="20">
        <v>21.0</v>
      </c>
      <c r="H102" s="28">
        <v>2026.0</v>
      </c>
      <c r="I102" s="28" t="s">
        <v>36</v>
      </c>
    </row>
    <row r="103">
      <c r="A103" s="20" t="s">
        <v>250</v>
      </c>
      <c r="B103" s="20" t="s">
        <v>355</v>
      </c>
      <c r="C103" s="20" t="s">
        <v>177</v>
      </c>
      <c r="D103" s="20">
        <v>102.0</v>
      </c>
      <c r="E103" s="20" t="s">
        <v>121</v>
      </c>
      <c r="F103" s="20" t="s">
        <v>30</v>
      </c>
      <c r="G103" s="20">
        <v>21.0</v>
      </c>
      <c r="H103" s="28">
        <v>2026.0</v>
      </c>
      <c r="I103" s="28" t="s">
        <v>36</v>
      </c>
    </row>
    <row r="104">
      <c r="A104" s="20"/>
      <c r="B104" s="20"/>
      <c r="C104" s="20"/>
      <c r="D104" s="20"/>
      <c r="E104" s="20"/>
      <c r="F104" s="20"/>
      <c r="G104" s="14"/>
    </row>
    <row r="105">
      <c r="A105" s="20"/>
      <c r="B105" s="20"/>
      <c r="C105" s="20"/>
      <c r="D105" s="20"/>
      <c r="E105" s="20"/>
      <c r="F105" s="20"/>
      <c r="G105" s="14"/>
    </row>
    <row r="106">
      <c r="A106" s="20"/>
      <c r="B106" s="20"/>
      <c r="C106" s="20"/>
      <c r="D106" s="20"/>
      <c r="E106" s="20"/>
      <c r="F106" s="20"/>
      <c r="G106" s="14"/>
    </row>
    <row r="107">
      <c r="A107" s="20"/>
      <c r="B107" s="20"/>
      <c r="C107" s="20"/>
      <c r="D107" s="20"/>
      <c r="E107" s="20"/>
      <c r="F107" s="20"/>
      <c r="G107" s="14"/>
    </row>
    <row r="108">
      <c r="A108" s="20"/>
      <c r="B108" s="20"/>
      <c r="C108" s="20"/>
      <c r="D108" s="20"/>
      <c r="E108" s="20"/>
      <c r="F108" s="20"/>
      <c r="G108" s="14"/>
    </row>
    <row r="109">
      <c r="A109" s="20"/>
      <c r="B109" s="20"/>
      <c r="C109" s="20"/>
      <c r="D109" s="20"/>
      <c r="E109" s="20"/>
      <c r="F109" s="20"/>
      <c r="G109" s="14"/>
    </row>
    <row r="110">
      <c r="A110" s="20"/>
      <c r="B110" s="20"/>
      <c r="C110" s="20"/>
      <c r="D110" s="20"/>
      <c r="E110" s="20"/>
      <c r="F110" s="20"/>
      <c r="G110" s="14"/>
    </row>
    <row r="111">
      <c r="A111" s="20"/>
      <c r="B111" s="20"/>
      <c r="C111" s="20"/>
      <c r="D111" s="20"/>
      <c r="E111" s="20"/>
      <c r="F111" s="20"/>
      <c r="G111" s="14"/>
    </row>
    <row r="112">
      <c r="A112" s="20"/>
      <c r="B112" s="20"/>
      <c r="C112" s="20"/>
      <c r="D112" s="20"/>
      <c r="E112" s="20"/>
      <c r="F112" s="20"/>
      <c r="G112" s="14"/>
    </row>
    <row r="113">
      <c r="A113" s="20"/>
      <c r="B113" s="20"/>
      <c r="C113" s="20"/>
      <c r="D113" s="20"/>
      <c r="E113" s="20"/>
      <c r="F113" s="20"/>
      <c r="G113" s="14"/>
    </row>
    <row r="114">
      <c r="A114" s="20"/>
      <c r="B114" s="20"/>
      <c r="C114" s="20"/>
      <c r="D114" s="20"/>
      <c r="E114" s="20"/>
      <c r="F114" s="20"/>
      <c r="G114" s="14"/>
    </row>
    <row r="115">
      <c r="A115" s="20"/>
      <c r="B115" s="20"/>
      <c r="C115" s="20"/>
      <c r="D115" s="20"/>
      <c r="E115" s="20"/>
      <c r="F115" s="20"/>
      <c r="G115" s="14"/>
    </row>
    <row r="116">
      <c r="A116" s="20"/>
      <c r="B116" s="20"/>
      <c r="C116" s="20"/>
      <c r="D116" s="20"/>
      <c r="E116" s="20"/>
      <c r="F116" s="20"/>
      <c r="G116" s="14"/>
    </row>
    <row r="117">
      <c r="A117" s="20"/>
      <c r="B117" s="20"/>
      <c r="C117" s="20"/>
      <c r="D117" s="20"/>
      <c r="E117" s="20"/>
      <c r="F117" s="20"/>
      <c r="G117" s="14"/>
    </row>
    <row r="118">
      <c r="A118" s="20"/>
      <c r="B118" s="20"/>
      <c r="C118" s="20"/>
      <c r="D118" s="20"/>
      <c r="E118" s="20"/>
      <c r="F118" s="20"/>
      <c r="G118" s="14"/>
    </row>
    <row r="119">
      <c r="A119" s="20"/>
      <c r="B119" s="20"/>
      <c r="C119" s="20"/>
      <c r="D119" s="20"/>
      <c r="E119" s="20"/>
      <c r="F119" s="20"/>
      <c r="G119" s="14"/>
    </row>
    <row r="120">
      <c r="A120" s="20"/>
      <c r="B120" s="20"/>
      <c r="C120" s="20"/>
      <c r="D120" s="20"/>
      <c r="E120" s="20"/>
      <c r="F120" s="20"/>
      <c r="G120" s="14"/>
    </row>
    <row r="121">
      <c r="A121" s="20"/>
      <c r="B121" s="20"/>
      <c r="C121" s="20"/>
      <c r="D121" s="20"/>
      <c r="E121" s="20"/>
      <c r="F121" s="20"/>
      <c r="G121" s="14"/>
    </row>
    <row r="122">
      <c r="A122" s="20"/>
      <c r="B122" s="20"/>
      <c r="C122" s="20"/>
      <c r="D122" s="20"/>
      <c r="E122" s="20"/>
      <c r="F122" s="20"/>
      <c r="G122" s="14"/>
    </row>
    <row r="123">
      <c r="A123" s="20"/>
      <c r="B123" s="20"/>
      <c r="C123" s="20"/>
      <c r="D123" s="20"/>
      <c r="E123" s="20"/>
      <c r="F123" s="20"/>
      <c r="G123" s="14"/>
    </row>
    <row r="124">
      <c r="A124" s="20"/>
      <c r="B124" s="20"/>
      <c r="C124" s="20"/>
      <c r="D124" s="20"/>
      <c r="E124" s="20"/>
      <c r="F124" s="20"/>
      <c r="G124" s="14"/>
    </row>
    <row r="125">
      <c r="A125" s="20"/>
      <c r="B125" s="20"/>
      <c r="C125" s="20"/>
      <c r="D125" s="20"/>
      <c r="E125" s="20"/>
      <c r="F125" s="20"/>
      <c r="G125" s="14"/>
    </row>
    <row r="126">
      <c r="A126" s="20"/>
      <c r="B126" s="20"/>
      <c r="C126" s="20"/>
      <c r="D126" s="20"/>
      <c r="E126" s="20"/>
      <c r="F126" s="20"/>
      <c r="G126" s="14"/>
    </row>
    <row r="127">
      <c r="A127" s="20"/>
      <c r="B127" s="20"/>
      <c r="C127" s="20"/>
      <c r="D127" s="20"/>
      <c r="E127" s="20"/>
      <c r="F127" s="20"/>
      <c r="G127" s="14"/>
    </row>
    <row r="128">
      <c r="A128" s="20"/>
      <c r="B128" s="20"/>
      <c r="C128" s="20"/>
      <c r="D128" s="20"/>
      <c r="E128" s="20"/>
      <c r="F128" s="20"/>
      <c r="G128" s="14"/>
    </row>
    <row r="129">
      <c r="A129" s="20"/>
      <c r="B129" s="20"/>
      <c r="C129" s="20"/>
      <c r="D129" s="20"/>
      <c r="E129" s="20"/>
      <c r="F129" s="20"/>
      <c r="G129" s="14"/>
    </row>
    <row r="130">
      <c r="A130" s="20"/>
      <c r="B130" s="20"/>
      <c r="C130" s="20"/>
      <c r="D130" s="20"/>
      <c r="E130" s="20"/>
      <c r="F130" s="20"/>
      <c r="G130" s="14"/>
    </row>
    <row r="131">
      <c r="A131" s="20"/>
      <c r="B131" s="20"/>
      <c r="C131" s="20"/>
      <c r="D131" s="20"/>
      <c r="E131" s="20"/>
      <c r="F131" s="20"/>
      <c r="G131" s="14"/>
    </row>
    <row r="132">
      <c r="A132" s="20"/>
      <c r="B132" s="20"/>
      <c r="C132" s="20"/>
      <c r="D132" s="20"/>
      <c r="E132" s="20"/>
      <c r="F132" s="20"/>
      <c r="G132" s="14"/>
    </row>
    <row r="133">
      <c r="A133" s="20"/>
      <c r="B133" s="20"/>
      <c r="C133" s="20"/>
      <c r="D133" s="20"/>
      <c r="E133" s="20"/>
      <c r="F133" s="20"/>
      <c r="G133" s="14"/>
    </row>
    <row r="134">
      <c r="A134" s="20"/>
      <c r="B134" s="20"/>
      <c r="C134" s="20"/>
      <c r="D134" s="20"/>
      <c r="E134" s="20"/>
      <c r="F134" s="20"/>
      <c r="G134" s="14"/>
    </row>
    <row r="135">
      <c r="A135" s="20"/>
      <c r="B135" s="20"/>
      <c r="C135" s="20"/>
      <c r="D135" s="20"/>
      <c r="E135" s="20"/>
      <c r="F135" s="20"/>
      <c r="G135" s="14"/>
    </row>
    <row r="136">
      <c r="A136" s="20"/>
      <c r="B136" s="20"/>
      <c r="C136" s="20"/>
      <c r="D136" s="20"/>
      <c r="E136" s="20"/>
      <c r="F136" s="20"/>
      <c r="G136" s="14"/>
    </row>
    <row r="137">
      <c r="A137" s="20"/>
      <c r="B137" s="20"/>
      <c r="C137" s="20"/>
      <c r="D137" s="20"/>
      <c r="E137" s="20"/>
      <c r="F137" s="20"/>
      <c r="G137" s="14"/>
    </row>
    <row r="138">
      <c r="A138" s="20"/>
      <c r="B138" s="20"/>
      <c r="C138" s="20"/>
      <c r="D138" s="20"/>
      <c r="E138" s="20"/>
      <c r="F138" s="20"/>
      <c r="G138" s="14"/>
    </row>
    <row r="139">
      <c r="A139" s="20"/>
      <c r="B139" s="20"/>
      <c r="C139" s="20"/>
      <c r="D139" s="20"/>
      <c r="E139" s="20"/>
      <c r="F139" s="20"/>
      <c r="G139" s="14"/>
    </row>
    <row r="140">
      <c r="A140" s="20"/>
      <c r="B140" s="20"/>
      <c r="C140" s="20"/>
      <c r="D140" s="20"/>
      <c r="E140" s="20"/>
      <c r="F140" s="20"/>
      <c r="G140" s="14"/>
    </row>
    <row r="141">
      <c r="A141" s="20"/>
      <c r="B141" s="20"/>
      <c r="C141" s="20"/>
      <c r="D141" s="20"/>
      <c r="E141" s="20"/>
      <c r="F141" s="20"/>
      <c r="G141" s="14"/>
    </row>
    <row r="142">
      <c r="A142" s="20"/>
      <c r="B142" s="20"/>
      <c r="C142" s="20"/>
      <c r="D142" s="20"/>
      <c r="E142" s="20"/>
      <c r="F142" s="20"/>
      <c r="G142" s="14"/>
    </row>
    <row r="143">
      <c r="A143" s="20"/>
      <c r="B143" s="20"/>
      <c r="C143" s="20"/>
      <c r="D143" s="20"/>
      <c r="E143" s="20"/>
      <c r="F143" s="20"/>
      <c r="G143" s="14"/>
    </row>
    <row r="144">
      <c r="A144" s="20"/>
      <c r="B144" s="20"/>
      <c r="C144" s="20"/>
      <c r="D144" s="20"/>
      <c r="E144" s="20"/>
      <c r="F144" s="20"/>
      <c r="G144" s="14"/>
    </row>
    <row r="145">
      <c r="A145" s="20"/>
      <c r="B145" s="20"/>
      <c r="C145" s="20"/>
      <c r="D145" s="20"/>
      <c r="E145" s="20"/>
      <c r="F145" s="20"/>
      <c r="G145" s="14"/>
    </row>
    <row r="146">
      <c r="A146" s="20"/>
      <c r="B146" s="20"/>
      <c r="C146" s="20"/>
      <c r="D146" s="20"/>
      <c r="E146" s="20"/>
      <c r="F146" s="20"/>
      <c r="G146" s="14"/>
    </row>
    <row r="147">
      <c r="A147" s="20"/>
      <c r="B147" s="20"/>
      <c r="C147" s="20"/>
      <c r="D147" s="20"/>
      <c r="E147" s="20"/>
      <c r="F147" s="20"/>
      <c r="G147" s="14"/>
    </row>
    <row r="148">
      <c r="A148" s="20"/>
      <c r="B148" s="20"/>
      <c r="C148" s="20"/>
      <c r="D148" s="20"/>
      <c r="E148" s="20"/>
      <c r="F148" s="20"/>
      <c r="G148" s="14"/>
    </row>
    <row r="149">
      <c r="A149" s="20"/>
      <c r="B149" s="20"/>
      <c r="C149" s="20"/>
      <c r="D149" s="20"/>
      <c r="E149" s="20"/>
      <c r="F149" s="20"/>
      <c r="G149" s="14"/>
    </row>
    <row r="150">
      <c r="A150" s="20"/>
      <c r="B150" s="20"/>
      <c r="C150" s="20"/>
      <c r="D150" s="20"/>
      <c r="E150" s="20"/>
      <c r="F150" s="20"/>
      <c r="G150" s="14"/>
    </row>
    <row r="151">
      <c r="A151" s="20"/>
      <c r="B151" s="20"/>
      <c r="C151" s="20"/>
      <c r="D151" s="20"/>
      <c r="E151" s="20"/>
      <c r="F151" s="20"/>
      <c r="G151" s="14"/>
    </row>
    <row r="152">
      <c r="A152" s="20"/>
      <c r="B152" s="20"/>
      <c r="C152" s="20"/>
      <c r="D152" s="20"/>
      <c r="E152" s="20"/>
      <c r="F152" s="20"/>
      <c r="G152" s="14"/>
    </row>
    <row r="153">
      <c r="A153" s="20"/>
      <c r="B153" s="20"/>
      <c r="C153" s="20"/>
      <c r="D153" s="20"/>
      <c r="E153" s="20"/>
      <c r="F153" s="20"/>
      <c r="G153" s="14"/>
    </row>
    <row r="154">
      <c r="A154" s="20"/>
      <c r="B154" s="20"/>
      <c r="C154" s="20"/>
      <c r="D154" s="20"/>
      <c r="E154" s="20"/>
      <c r="F154" s="20"/>
      <c r="G154" s="14"/>
    </row>
    <row r="155">
      <c r="A155" s="20"/>
      <c r="B155" s="20"/>
      <c r="C155" s="20"/>
      <c r="D155" s="20"/>
      <c r="E155" s="20"/>
      <c r="F155" s="20"/>
      <c r="G155" s="14"/>
    </row>
    <row r="156">
      <c r="A156" s="20"/>
      <c r="B156" s="20"/>
      <c r="C156" s="20"/>
      <c r="D156" s="20"/>
      <c r="E156" s="20"/>
      <c r="F156" s="20"/>
      <c r="G156" s="14"/>
    </row>
    <row r="157">
      <c r="A157" s="20"/>
      <c r="B157" s="20"/>
      <c r="C157" s="20"/>
      <c r="D157" s="20"/>
      <c r="E157" s="20"/>
      <c r="F157" s="20"/>
      <c r="G157" s="14"/>
    </row>
    <row r="158">
      <c r="A158" s="20"/>
      <c r="B158" s="20"/>
      <c r="C158" s="20"/>
      <c r="D158" s="20"/>
      <c r="E158" s="20"/>
      <c r="F158" s="20"/>
      <c r="G158" s="14"/>
    </row>
    <row r="159">
      <c r="A159" s="20"/>
      <c r="B159" s="20"/>
      <c r="C159" s="20"/>
      <c r="D159" s="20"/>
      <c r="E159" s="20"/>
      <c r="F159" s="20"/>
      <c r="G159" s="14"/>
    </row>
    <row r="160">
      <c r="A160" s="20"/>
      <c r="B160" s="20"/>
      <c r="C160" s="20"/>
      <c r="D160" s="20"/>
      <c r="E160" s="20"/>
      <c r="F160" s="20"/>
      <c r="G160" s="14"/>
    </row>
    <row r="161">
      <c r="A161" s="20"/>
      <c r="B161" s="20"/>
      <c r="C161" s="20"/>
      <c r="D161" s="20"/>
      <c r="E161" s="20"/>
      <c r="F161" s="20"/>
      <c r="G161" s="14"/>
    </row>
    <row r="162">
      <c r="A162" s="20"/>
      <c r="B162" s="20"/>
      <c r="C162" s="20"/>
      <c r="D162" s="20"/>
      <c r="E162" s="20"/>
      <c r="F162" s="20"/>
      <c r="G162" s="14"/>
    </row>
    <row r="163">
      <c r="A163" s="20"/>
      <c r="B163" s="20"/>
      <c r="C163" s="20"/>
      <c r="D163" s="20"/>
      <c r="E163" s="20"/>
      <c r="F163" s="20"/>
      <c r="G163" s="14"/>
    </row>
    <row r="164">
      <c r="A164" s="20"/>
      <c r="B164" s="20"/>
      <c r="C164" s="20"/>
      <c r="D164" s="20"/>
      <c r="E164" s="20"/>
      <c r="F164" s="20"/>
      <c r="G164" s="14"/>
    </row>
    <row r="165">
      <c r="A165" s="20"/>
      <c r="B165" s="20"/>
      <c r="C165" s="20"/>
      <c r="D165" s="20"/>
      <c r="E165" s="20"/>
      <c r="F165" s="20"/>
      <c r="G165" s="14"/>
    </row>
    <row r="166">
      <c r="A166" s="20"/>
      <c r="B166" s="20"/>
      <c r="C166" s="20"/>
      <c r="D166" s="20"/>
      <c r="E166" s="20"/>
      <c r="F166" s="20"/>
      <c r="G166" s="14"/>
    </row>
    <row r="167">
      <c r="A167" s="20"/>
      <c r="B167" s="20"/>
      <c r="C167" s="20"/>
      <c r="D167" s="20"/>
      <c r="E167" s="20"/>
      <c r="F167" s="20"/>
      <c r="G167" s="14"/>
    </row>
    <row r="168">
      <c r="A168" s="20"/>
      <c r="B168" s="20"/>
      <c r="C168" s="20"/>
      <c r="D168" s="20"/>
      <c r="E168" s="20"/>
      <c r="F168" s="20"/>
      <c r="G168" s="14"/>
    </row>
    <row r="169">
      <c r="A169" s="20"/>
      <c r="B169" s="20"/>
      <c r="C169" s="20"/>
      <c r="D169" s="20"/>
      <c r="E169" s="20"/>
      <c r="F169" s="20"/>
      <c r="G169" s="14"/>
    </row>
    <row r="170">
      <c r="A170" s="20"/>
      <c r="B170" s="20"/>
      <c r="C170" s="20"/>
      <c r="D170" s="20"/>
      <c r="E170" s="20"/>
      <c r="F170" s="20"/>
      <c r="G170" s="14"/>
    </row>
    <row r="171">
      <c r="A171" s="20"/>
      <c r="B171" s="20"/>
      <c r="C171" s="20"/>
      <c r="D171" s="20"/>
      <c r="E171" s="20"/>
      <c r="F171" s="20"/>
      <c r="G171" s="14"/>
    </row>
    <row r="172">
      <c r="A172" s="20"/>
      <c r="B172" s="20"/>
      <c r="C172" s="20"/>
      <c r="D172" s="20"/>
      <c r="E172" s="20"/>
      <c r="F172" s="20"/>
      <c r="G172" s="14"/>
    </row>
    <row r="173">
      <c r="A173" s="20"/>
      <c r="B173" s="20"/>
      <c r="C173" s="20"/>
      <c r="D173" s="20"/>
      <c r="E173" s="20"/>
      <c r="F173" s="20"/>
      <c r="G173" s="14"/>
    </row>
    <row r="174">
      <c r="A174" s="20"/>
      <c r="B174" s="20"/>
      <c r="C174" s="20"/>
      <c r="D174" s="20"/>
      <c r="E174" s="20"/>
      <c r="F174" s="20"/>
      <c r="G174" s="14"/>
    </row>
    <row r="175">
      <c r="A175" s="20"/>
      <c r="B175" s="20"/>
      <c r="C175" s="20"/>
      <c r="D175" s="20"/>
      <c r="E175" s="20"/>
      <c r="F175" s="20"/>
      <c r="G175" s="14"/>
    </row>
    <row r="176">
      <c r="A176" s="20"/>
      <c r="B176" s="20"/>
      <c r="C176" s="20"/>
      <c r="D176" s="20"/>
      <c r="E176" s="20"/>
      <c r="F176" s="20"/>
      <c r="G176" s="14"/>
    </row>
    <row r="177">
      <c r="A177" s="20"/>
      <c r="B177" s="20"/>
      <c r="C177" s="20"/>
      <c r="D177" s="20"/>
      <c r="E177" s="20"/>
      <c r="F177" s="20"/>
      <c r="G177" s="14"/>
    </row>
    <row r="178">
      <c r="A178" s="20"/>
      <c r="B178" s="20"/>
      <c r="C178" s="20"/>
      <c r="D178" s="20"/>
      <c r="E178" s="20"/>
      <c r="F178" s="20"/>
      <c r="G178" s="14"/>
    </row>
    <row r="179">
      <c r="A179" s="20"/>
      <c r="B179" s="20"/>
      <c r="C179" s="20"/>
      <c r="D179" s="20"/>
      <c r="E179" s="20"/>
      <c r="F179" s="20"/>
      <c r="G179" s="14"/>
    </row>
    <row r="180">
      <c r="A180" s="20"/>
      <c r="B180" s="20"/>
      <c r="C180" s="20"/>
      <c r="D180" s="20"/>
      <c r="E180" s="20"/>
      <c r="F180" s="20"/>
      <c r="G180" s="14"/>
    </row>
    <row r="181">
      <c r="A181" s="20"/>
      <c r="B181" s="20"/>
      <c r="C181" s="20"/>
      <c r="D181" s="20"/>
      <c r="E181" s="20"/>
      <c r="F181" s="20"/>
      <c r="G181" s="14"/>
    </row>
  </sheetData>
  <autoFilter ref="$A$2:$I$103"/>
  <mergeCells count="1">
    <mergeCell ref="A1:I1"/>
  </mergeCells>
  <conditionalFormatting sqref="D3:D181">
    <cfRule type="expression" dxfId="0" priority="1">
      <formula>D3&gt;=MAX(D$3:D$245)</formula>
    </cfRule>
  </conditionalFormatting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7.5"/>
    <col customWidth="1" min="2" max="2" width="11.5"/>
    <col customWidth="1" min="3" max="3" width="11.75"/>
    <col customWidth="1" min="4" max="4" width="11.0"/>
    <col customWidth="1" min="5" max="5" width="6.5"/>
    <col customWidth="1" min="6" max="6" width="6.75"/>
    <col customWidth="1" min="7" max="7" width="6.63"/>
    <col customWidth="1" min="8" max="8" width="7.63"/>
    <col customWidth="1" min="9" max="9" width="7.0"/>
    <col customWidth="1" min="10" max="10" width="8.88"/>
    <col customWidth="1" min="11" max="11" width="9.0"/>
    <col customWidth="1" min="12" max="12" width="6.75"/>
  </cols>
  <sheetData>
    <row r="1" ht="30.75" customHeight="1">
      <c r="A1" s="1" t="s">
        <v>258</v>
      </c>
    </row>
    <row r="2" ht="15.0" customHeight="1">
      <c r="A2" s="3" t="s">
        <v>3</v>
      </c>
      <c r="B2" s="3" t="s">
        <v>4</v>
      </c>
      <c r="C2" s="3" t="s">
        <v>5</v>
      </c>
      <c r="D2" s="3" t="s">
        <v>259</v>
      </c>
      <c r="E2" s="3" t="s">
        <v>9</v>
      </c>
      <c r="F2" s="3" t="s">
        <v>260</v>
      </c>
      <c r="G2" s="3" t="s">
        <v>12</v>
      </c>
      <c r="H2" s="3" t="s">
        <v>16</v>
      </c>
      <c r="I2" s="3" t="s">
        <v>17</v>
      </c>
      <c r="J2" s="3" t="s">
        <v>18</v>
      </c>
      <c r="K2" s="11" t="s">
        <v>19</v>
      </c>
      <c r="L2" s="12" t="s">
        <v>20</v>
      </c>
    </row>
    <row r="3" ht="15.0" customHeight="1">
      <c r="A3" s="13" t="s">
        <v>22</v>
      </c>
      <c r="B3" s="13" t="s">
        <v>153</v>
      </c>
      <c r="C3" s="13" t="s">
        <v>113</v>
      </c>
      <c r="D3" s="13">
        <v>30.0</v>
      </c>
      <c r="E3" s="13">
        <v>469.0</v>
      </c>
      <c r="F3" s="13">
        <v>15.6</v>
      </c>
      <c r="G3" s="13">
        <v>1.0</v>
      </c>
      <c r="H3" s="13" t="s">
        <v>89</v>
      </c>
      <c r="I3" s="13" t="s">
        <v>30</v>
      </c>
      <c r="J3" s="13">
        <v>5.0</v>
      </c>
      <c r="K3" s="20">
        <f>vlookup(J3,Superbowls!$A$2:$B$115,2,FALSE)</f>
        <v>2010</v>
      </c>
      <c r="L3" s="20" t="s">
        <v>36</v>
      </c>
    </row>
    <row r="4" ht="15.0" customHeight="1">
      <c r="A4" s="13" t="s">
        <v>22</v>
      </c>
      <c r="B4" s="13" t="s">
        <v>262</v>
      </c>
      <c r="C4" s="13" t="s">
        <v>179</v>
      </c>
      <c r="D4" s="13">
        <v>16.0</v>
      </c>
      <c r="E4" s="13">
        <v>185.0</v>
      </c>
      <c r="F4" s="13">
        <v>11.5</v>
      </c>
      <c r="G4" s="13">
        <v>0.0</v>
      </c>
      <c r="H4" s="13" t="s">
        <v>70</v>
      </c>
      <c r="I4" s="13" t="s">
        <v>71</v>
      </c>
      <c r="J4" s="20">
        <v>6.0</v>
      </c>
      <c r="K4" s="20">
        <f>vlookup(J4,Superbowls!$A$2:$B$115,2,FALSE)</f>
        <v>2011</v>
      </c>
      <c r="L4" s="20" t="s">
        <v>36</v>
      </c>
    </row>
    <row r="5" ht="15.0" customHeight="1">
      <c r="A5" s="20" t="s">
        <v>22</v>
      </c>
      <c r="B5" s="20" t="s">
        <v>153</v>
      </c>
      <c r="C5" s="20" t="s">
        <v>113</v>
      </c>
      <c r="D5" s="20">
        <v>30.0</v>
      </c>
      <c r="E5" s="20">
        <v>424.0</v>
      </c>
      <c r="F5" s="20">
        <v>14.1</v>
      </c>
      <c r="G5" s="20">
        <v>0.0</v>
      </c>
      <c r="H5" s="20" t="s">
        <v>89</v>
      </c>
      <c r="I5" s="20" t="s">
        <v>30</v>
      </c>
      <c r="J5" s="20">
        <v>7.0</v>
      </c>
      <c r="K5" s="20">
        <f>vlookup(J5,Superbowls!$A$2:$B$115,2,FALSE)</f>
        <v>2017</v>
      </c>
      <c r="L5" s="20" t="s">
        <v>36</v>
      </c>
    </row>
    <row r="6">
      <c r="A6" s="20" t="s">
        <v>31</v>
      </c>
      <c r="B6" s="20" t="s">
        <v>265</v>
      </c>
      <c r="C6" s="20" t="s">
        <v>266</v>
      </c>
      <c r="D6" s="20">
        <v>9.0</v>
      </c>
      <c r="E6" s="20">
        <v>64.0</v>
      </c>
      <c r="F6" s="20">
        <v>7.1</v>
      </c>
      <c r="G6" s="20">
        <v>0.0</v>
      </c>
      <c r="H6" s="20" t="s">
        <v>79</v>
      </c>
      <c r="I6" s="20" t="s">
        <v>71</v>
      </c>
      <c r="J6" s="20">
        <v>8.0</v>
      </c>
      <c r="K6" s="20">
        <f>vlookup(J6,Superbowls!$A$2:$B$115,2,FALSE)</f>
        <v>2017</v>
      </c>
      <c r="L6" s="20" t="s">
        <v>36</v>
      </c>
    </row>
    <row r="7">
      <c r="A7" s="20" t="s">
        <v>31</v>
      </c>
      <c r="B7" s="20" t="s">
        <v>199</v>
      </c>
      <c r="C7" s="20" t="s">
        <v>142</v>
      </c>
      <c r="D7" s="20">
        <v>23.0</v>
      </c>
      <c r="E7" s="20">
        <v>144.0</v>
      </c>
      <c r="F7" s="20">
        <v>6.2</v>
      </c>
      <c r="G7" s="20">
        <v>0.0</v>
      </c>
      <c r="H7" s="20" t="s">
        <v>131</v>
      </c>
      <c r="I7" s="20" t="s">
        <v>30</v>
      </c>
      <c r="J7" s="20">
        <v>8.0</v>
      </c>
      <c r="K7" s="20">
        <f>vlookup(J7,Superbowls!$A$2:$B$115,2,FALSE)</f>
        <v>2017</v>
      </c>
      <c r="L7" s="20" t="s">
        <v>36</v>
      </c>
    </row>
    <row r="8">
      <c r="A8" s="20" t="s">
        <v>31</v>
      </c>
      <c r="B8" s="20" t="s">
        <v>270</v>
      </c>
      <c r="C8" s="20" t="s">
        <v>128</v>
      </c>
      <c r="D8" s="20">
        <v>16.0</v>
      </c>
      <c r="E8" s="20">
        <v>95.0</v>
      </c>
      <c r="F8" s="20">
        <v>5.9</v>
      </c>
      <c r="G8" s="20">
        <v>0.0</v>
      </c>
      <c r="H8" s="20" t="s">
        <v>124</v>
      </c>
      <c r="I8" s="20" t="s">
        <v>35</v>
      </c>
      <c r="J8" s="20">
        <v>8.0</v>
      </c>
      <c r="K8" s="20">
        <f>vlookup(J8,Superbowls!$A$2:$B$115,2,FALSE)</f>
        <v>2017</v>
      </c>
      <c r="L8" s="20" t="s">
        <v>36</v>
      </c>
    </row>
    <row r="9">
      <c r="A9" s="20" t="s">
        <v>22</v>
      </c>
      <c r="B9" s="20" t="s">
        <v>271</v>
      </c>
      <c r="C9" s="20" t="s">
        <v>272</v>
      </c>
      <c r="D9" s="20">
        <v>10.0</v>
      </c>
      <c r="E9" s="20">
        <v>46.0</v>
      </c>
      <c r="F9" s="20">
        <v>4.6</v>
      </c>
      <c r="G9" s="20">
        <v>0.0</v>
      </c>
      <c r="H9" s="20" t="s">
        <v>107</v>
      </c>
      <c r="I9" s="20" t="s">
        <v>63</v>
      </c>
      <c r="J9" s="20">
        <v>8.0</v>
      </c>
      <c r="K9" s="20">
        <f>vlookup(J9,Superbowls!$A$2:$B$115,2,FALSE)</f>
        <v>2017</v>
      </c>
      <c r="L9" s="20" t="s">
        <v>36</v>
      </c>
    </row>
    <row r="10">
      <c r="A10" s="20" t="s">
        <v>31</v>
      </c>
      <c r="B10" s="20" t="s">
        <v>275</v>
      </c>
      <c r="C10" s="20" t="s">
        <v>155</v>
      </c>
      <c r="D10" s="20">
        <v>12.0</v>
      </c>
      <c r="E10" s="20">
        <v>55.0</v>
      </c>
      <c r="F10" s="20">
        <v>4.5</v>
      </c>
      <c r="G10" s="20">
        <v>0.0</v>
      </c>
      <c r="H10" s="20" t="s">
        <v>78</v>
      </c>
      <c r="I10" s="20" t="s">
        <v>42</v>
      </c>
      <c r="J10" s="20">
        <v>8.0</v>
      </c>
      <c r="K10" s="20">
        <f>vlookup(J10,Superbowls!$A$2:$B$115,2,FALSE)</f>
        <v>2017</v>
      </c>
      <c r="L10" s="20" t="s">
        <v>36</v>
      </c>
    </row>
    <row r="11">
      <c r="A11" s="20" t="s">
        <v>31</v>
      </c>
      <c r="B11" s="20" t="s">
        <v>277</v>
      </c>
      <c r="C11" s="20" t="s">
        <v>278</v>
      </c>
      <c r="D11" s="20">
        <v>12.0</v>
      </c>
      <c r="E11" s="20">
        <v>79.0</v>
      </c>
      <c r="F11" s="20">
        <v>6.5</v>
      </c>
      <c r="G11" s="20">
        <v>0.0</v>
      </c>
      <c r="H11" s="20" t="s">
        <v>90</v>
      </c>
      <c r="I11" s="20" t="s">
        <v>30</v>
      </c>
      <c r="J11" s="27">
        <v>9.0</v>
      </c>
      <c r="K11" s="20">
        <f>vlookup(J11,Superbowls!$A$2:$B$115,2,FALSE)</f>
        <v>2017</v>
      </c>
      <c r="L11" s="20" t="s">
        <v>36</v>
      </c>
    </row>
    <row r="12">
      <c r="A12" s="20" t="s">
        <v>31</v>
      </c>
      <c r="B12" s="20" t="s">
        <v>280</v>
      </c>
      <c r="C12" s="20" t="s">
        <v>281</v>
      </c>
      <c r="D12" s="20">
        <v>16.0</v>
      </c>
      <c r="E12" s="20">
        <v>99.0</v>
      </c>
      <c r="F12" s="20">
        <v>6.1</v>
      </c>
      <c r="G12" s="20">
        <v>0.0</v>
      </c>
      <c r="H12" s="20" t="s">
        <v>145</v>
      </c>
      <c r="I12" s="20" t="s">
        <v>63</v>
      </c>
      <c r="J12" s="27">
        <v>9.0</v>
      </c>
      <c r="K12" s="20">
        <f>vlookup(J12,Superbowls!$A$2:$B$115,2,FALSE)</f>
        <v>2017</v>
      </c>
      <c r="L12" s="20" t="s">
        <v>36</v>
      </c>
    </row>
    <row r="13">
      <c r="A13" s="20" t="s">
        <v>31</v>
      </c>
      <c r="B13" s="20" t="s">
        <v>282</v>
      </c>
      <c r="C13" s="20" t="s">
        <v>167</v>
      </c>
      <c r="D13" s="20">
        <v>27.0</v>
      </c>
      <c r="E13" s="20">
        <v>313.0</v>
      </c>
      <c r="F13" s="20">
        <v>11.5</v>
      </c>
      <c r="G13" s="20">
        <v>0.0</v>
      </c>
      <c r="H13" s="20" t="s">
        <v>156</v>
      </c>
      <c r="I13" s="20" t="s">
        <v>12</v>
      </c>
      <c r="J13" s="27">
        <v>10.0</v>
      </c>
      <c r="K13" s="20">
        <f>vlookup(J13,Superbowls!$A$2:$B$115,2,FALSE)</f>
        <v>2018</v>
      </c>
      <c r="L13" s="20" t="s">
        <v>36</v>
      </c>
    </row>
    <row r="14">
      <c r="A14" s="20" t="s">
        <v>31</v>
      </c>
      <c r="B14" s="20" t="s">
        <v>37</v>
      </c>
      <c r="C14" s="20" t="s">
        <v>285</v>
      </c>
      <c r="D14" s="20">
        <v>2.0</v>
      </c>
      <c r="E14" s="20">
        <v>255.0</v>
      </c>
      <c r="F14" s="20">
        <v>12.7</v>
      </c>
      <c r="G14" s="20">
        <v>0.0</v>
      </c>
      <c r="H14" s="20" t="s">
        <v>112</v>
      </c>
      <c r="I14" s="20" t="s">
        <v>30</v>
      </c>
      <c r="J14" s="27">
        <v>11.0</v>
      </c>
      <c r="K14" s="20">
        <f>vlookup(J14,Superbowls!$A$2:$B$115,2,FALSE)</f>
        <v>2019</v>
      </c>
      <c r="L14" s="20" t="s">
        <v>36</v>
      </c>
    </row>
    <row r="15">
      <c r="A15" s="20" t="s">
        <v>31</v>
      </c>
      <c r="B15" s="20" t="s">
        <v>286</v>
      </c>
      <c r="C15" s="20" t="s">
        <v>287</v>
      </c>
      <c r="D15" s="20">
        <v>25.0</v>
      </c>
      <c r="E15" s="20">
        <v>315.0</v>
      </c>
      <c r="F15" s="20">
        <v>12.6</v>
      </c>
      <c r="G15" s="20">
        <v>0.0</v>
      </c>
      <c r="H15" s="20" t="s">
        <v>101</v>
      </c>
      <c r="I15" s="20" t="s">
        <v>30</v>
      </c>
      <c r="J15" s="20">
        <v>12.0</v>
      </c>
      <c r="K15" s="20">
        <f>vlookup(J15,Superbowls!$A$2:$B$115,2,FALSE)</f>
        <v>2020</v>
      </c>
      <c r="L15" s="20" t="s">
        <v>36</v>
      </c>
    </row>
    <row r="16">
      <c r="A16" s="20" t="s">
        <v>31</v>
      </c>
      <c r="B16" s="20" t="s">
        <v>216</v>
      </c>
      <c r="C16" s="20" t="s">
        <v>273</v>
      </c>
      <c r="D16" s="20">
        <v>22.0</v>
      </c>
      <c r="E16" s="20">
        <v>250.0</v>
      </c>
      <c r="F16" s="20">
        <v>11.3</v>
      </c>
      <c r="G16" s="20">
        <v>1.0</v>
      </c>
      <c r="H16" s="20" t="s">
        <v>41</v>
      </c>
      <c r="I16" s="20" t="s">
        <v>71</v>
      </c>
      <c r="J16" s="20">
        <v>12.0</v>
      </c>
      <c r="K16" s="20">
        <f>vlookup(J16,Superbowls!$A$2:$B$115,2,FALSE)</f>
        <v>2020</v>
      </c>
      <c r="L16" s="20" t="s">
        <v>36</v>
      </c>
    </row>
    <row r="17">
      <c r="A17" s="20" t="s">
        <v>31</v>
      </c>
      <c r="B17" s="20" t="s">
        <v>290</v>
      </c>
      <c r="C17" s="20" t="s">
        <v>291</v>
      </c>
      <c r="D17" s="20">
        <v>15.0</v>
      </c>
      <c r="E17" s="20">
        <v>156.0</v>
      </c>
      <c r="F17" s="20">
        <v>10.5</v>
      </c>
      <c r="G17" s="20">
        <v>0.0</v>
      </c>
      <c r="H17" s="20" t="s">
        <v>34</v>
      </c>
      <c r="I17" s="20" t="s">
        <v>30</v>
      </c>
      <c r="J17" s="20">
        <v>13.0</v>
      </c>
      <c r="K17" s="20">
        <f>vlookup(J17,Superbowls!$A$2:$B$115,2,FALSE)</f>
        <v>2021</v>
      </c>
      <c r="L17" s="20" t="s">
        <v>36</v>
      </c>
    </row>
    <row r="18">
      <c r="A18" s="20" t="s">
        <v>31</v>
      </c>
      <c r="B18" s="20" t="s">
        <v>293</v>
      </c>
      <c r="C18" s="20" t="s">
        <v>294</v>
      </c>
      <c r="D18" s="20">
        <v>22.0</v>
      </c>
      <c r="E18" s="20">
        <v>205.0</v>
      </c>
      <c r="F18" s="20">
        <v>9.3</v>
      </c>
      <c r="G18" s="20">
        <v>0.0</v>
      </c>
      <c r="H18" s="20" t="s">
        <v>34</v>
      </c>
      <c r="I18" s="20" t="s">
        <v>30</v>
      </c>
      <c r="J18" s="20">
        <v>13.0</v>
      </c>
      <c r="K18" s="20">
        <f>vlookup(J18,Superbowls!$A$2:$B$115,2,FALSE)</f>
        <v>2021</v>
      </c>
      <c r="L18" s="20" t="s">
        <v>36</v>
      </c>
    </row>
    <row r="19">
      <c r="A19" s="20" t="s">
        <v>31</v>
      </c>
      <c r="B19" s="20" t="s">
        <v>216</v>
      </c>
      <c r="C19" s="20" t="s">
        <v>51</v>
      </c>
      <c r="D19" s="20">
        <v>23.0</v>
      </c>
      <c r="E19" s="20">
        <v>145.0</v>
      </c>
      <c r="F19" s="20">
        <v>6.3</v>
      </c>
      <c r="G19" s="20">
        <v>0.0</v>
      </c>
      <c r="H19" s="20" t="s">
        <v>29</v>
      </c>
      <c r="I19" s="20" t="s">
        <v>71</v>
      </c>
      <c r="J19" s="20">
        <v>13.0</v>
      </c>
      <c r="K19" s="20">
        <f>vlookup(J19,Superbowls!$A$2:$B$115,2,FALSE)</f>
        <v>2021</v>
      </c>
      <c r="L19" s="20" t="s">
        <v>36</v>
      </c>
    </row>
    <row r="20">
      <c r="A20" s="20" t="s">
        <v>31</v>
      </c>
      <c r="B20" s="20" t="s">
        <v>297</v>
      </c>
      <c r="C20" s="20" t="s">
        <v>298</v>
      </c>
      <c r="D20" s="20">
        <v>30.0</v>
      </c>
      <c r="E20" s="20">
        <v>215.0</v>
      </c>
      <c r="F20" s="20">
        <v>7.1</v>
      </c>
      <c r="G20" s="20">
        <v>0.0</v>
      </c>
      <c r="H20" s="20" t="s">
        <v>62</v>
      </c>
      <c r="I20" s="20" t="s">
        <v>42</v>
      </c>
      <c r="J20" s="20">
        <v>13.0</v>
      </c>
      <c r="K20" s="20">
        <f>vlookup(J20,Superbowls!$A$2:$B$115,2,FALSE)</f>
        <v>2021</v>
      </c>
      <c r="L20" s="20" t="s">
        <v>36</v>
      </c>
    </row>
    <row r="21">
      <c r="A21" s="20" t="s">
        <v>31</v>
      </c>
      <c r="B21" s="20" t="s">
        <v>53</v>
      </c>
      <c r="C21" s="20" t="s">
        <v>130</v>
      </c>
      <c r="D21" s="20">
        <v>11.0</v>
      </c>
      <c r="E21" s="20">
        <v>101.0</v>
      </c>
      <c r="F21" s="20">
        <v>9.1</v>
      </c>
      <c r="G21" s="20">
        <v>0.0</v>
      </c>
      <c r="H21" s="20" t="s">
        <v>114</v>
      </c>
      <c r="I21" s="20" t="s">
        <v>42</v>
      </c>
      <c r="J21" s="20">
        <v>14.0</v>
      </c>
      <c r="K21" s="20">
        <f>vlookup(J21,Superbowls!$A$2:$B$115,2,FALSE)</f>
        <v>2022</v>
      </c>
      <c r="L21" s="20" t="s">
        <v>36</v>
      </c>
    </row>
    <row r="22">
      <c r="A22" s="20" t="s">
        <v>22</v>
      </c>
      <c r="B22" s="20" t="s">
        <v>262</v>
      </c>
      <c r="C22" s="20" t="s">
        <v>179</v>
      </c>
      <c r="D22" s="20">
        <v>26.0</v>
      </c>
      <c r="E22" s="20">
        <v>198.0</v>
      </c>
      <c r="F22" s="20">
        <v>7.6</v>
      </c>
      <c r="G22" s="20">
        <v>0.0</v>
      </c>
      <c r="H22" s="20" t="s">
        <v>70</v>
      </c>
      <c r="I22" s="20" t="s">
        <v>71</v>
      </c>
      <c r="J22" s="20">
        <v>15.0</v>
      </c>
      <c r="K22" s="20">
        <f>vlookup(J22,Superbowls!$A$2:$B$115,2,FALSE)</f>
        <v>2023</v>
      </c>
      <c r="L22" s="20" t="s">
        <v>36</v>
      </c>
    </row>
    <row r="23">
      <c r="A23" s="20" t="s">
        <v>22</v>
      </c>
      <c r="B23" s="20" t="s">
        <v>151</v>
      </c>
      <c r="C23" s="20" t="s">
        <v>152</v>
      </c>
      <c r="D23" s="20">
        <v>17.0</v>
      </c>
      <c r="E23" s="20">
        <v>111.0</v>
      </c>
      <c r="F23" s="20">
        <v>6.5</v>
      </c>
      <c r="G23" s="20">
        <v>0.0</v>
      </c>
      <c r="H23" s="20" t="s">
        <v>47</v>
      </c>
      <c r="I23" s="20" t="s">
        <v>42</v>
      </c>
      <c r="J23" s="20">
        <v>15.0</v>
      </c>
      <c r="K23" s="20">
        <f>vlookup(J23,Superbowls!$A$2:$B$115,2,FALSE)</f>
        <v>2023</v>
      </c>
      <c r="L23" s="20" t="s">
        <v>36</v>
      </c>
    </row>
    <row r="24">
      <c r="A24" s="20" t="s">
        <v>31</v>
      </c>
      <c r="B24" s="20" t="s">
        <v>37</v>
      </c>
      <c r="C24" s="20" t="s">
        <v>285</v>
      </c>
      <c r="D24" s="20">
        <v>18.0</v>
      </c>
      <c r="E24" s="20">
        <v>186.0</v>
      </c>
      <c r="F24" s="20">
        <v>10.3</v>
      </c>
      <c r="G24" s="20">
        <v>0.0</v>
      </c>
      <c r="H24" s="20" t="s">
        <v>112</v>
      </c>
      <c r="I24" s="20" t="s">
        <v>35</v>
      </c>
      <c r="J24" s="20">
        <v>15.0</v>
      </c>
      <c r="K24" s="20">
        <f>vlookup(J24,Superbowls!$A$2:$B$115,2,FALSE)</f>
        <v>2023</v>
      </c>
      <c r="L24" s="20" t="s">
        <v>36</v>
      </c>
    </row>
    <row r="25">
      <c r="A25" s="20" t="s">
        <v>31</v>
      </c>
      <c r="B25" s="20" t="s">
        <v>159</v>
      </c>
      <c r="C25" s="20" t="s">
        <v>301</v>
      </c>
      <c r="D25" s="20">
        <v>28.0</v>
      </c>
      <c r="E25" s="20">
        <v>435.0</v>
      </c>
      <c r="F25" s="20">
        <v>15.5</v>
      </c>
      <c r="G25" s="20">
        <v>0.0</v>
      </c>
      <c r="H25" s="20" t="s">
        <v>161</v>
      </c>
      <c r="I25" s="20" t="s">
        <v>30</v>
      </c>
      <c r="J25" s="20">
        <v>15.0</v>
      </c>
      <c r="K25" s="20">
        <f>vlookup(J25,Superbowls!$A$2:$B$115,2,FALSE)</f>
        <v>2023</v>
      </c>
      <c r="L25" s="20" t="s">
        <v>36</v>
      </c>
    </row>
    <row r="26">
      <c r="A26" s="20" t="s">
        <v>22</v>
      </c>
      <c r="B26" s="20" t="s">
        <v>180</v>
      </c>
      <c r="C26" s="20" t="s">
        <v>181</v>
      </c>
      <c r="D26" s="20">
        <v>19.0</v>
      </c>
      <c r="E26" s="20">
        <v>225.0</v>
      </c>
      <c r="F26" s="20">
        <v>11.8</v>
      </c>
      <c r="G26" s="20">
        <v>0.0</v>
      </c>
      <c r="H26" s="20" t="s">
        <v>145</v>
      </c>
      <c r="I26" s="20" t="s">
        <v>42</v>
      </c>
      <c r="J26" s="20">
        <v>16.0</v>
      </c>
      <c r="K26" s="20">
        <v>2024.0</v>
      </c>
      <c r="L26" s="20" t="s">
        <v>36</v>
      </c>
    </row>
    <row r="27">
      <c r="A27" s="20" t="s">
        <v>22</v>
      </c>
      <c r="B27" s="20" t="s">
        <v>153</v>
      </c>
      <c r="C27" s="20" t="s">
        <v>113</v>
      </c>
      <c r="D27" s="20">
        <v>20.0</v>
      </c>
      <c r="E27" s="20">
        <v>155.0</v>
      </c>
      <c r="F27" s="20">
        <v>7.7</v>
      </c>
      <c r="G27" s="20">
        <v>0.0</v>
      </c>
      <c r="H27" s="20" t="s">
        <v>89</v>
      </c>
      <c r="I27" s="20" t="s">
        <v>175</v>
      </c>
      <c r="J27" s="20">
        <v>16.0</v>
      </c>
      <c r="K27" s="20">
        <v>2024.0</v>
      </c>
      <c r="L27" s="20" t="s">
        <v>36</v>
      </c>
    </row>
    <row r="28">
      <c r="A28" s="20" t="s">
        <v>31</v>
      </c>
      <c r="B28" s="20" t="s">
        <v>286</v>
      </c>
      <c r="C28" s="20" t="s">
        <v>287</v>
      </c>
      <c r="D28" s="20">
        <v>21.0</v>
      </c>
      <c r="E28" s="20">
        <v>159.0</v>
      </c>
      <c r="F28" s="20">
        <v>7.5</v>
      </c>
      <c r="G28" s="20">
        <v>0.0</v>
      </c>
      <c r="H28" s="20" t="s">
        <v>101</v>
      </c>
      <c r="I28" s="20" t="s">
        <v>35</v>
      </c>
      <c r="J28" s="20">
        <v>16.0</v>
      </c>
      <c r="K28" s="20">
        <v>2024.0</v>
      </c>
      <c r="L28" s="20" t="s">
        <v>36</v>
      </c>
    </row>
    <row r="29">
      <c r="A29" s="20" t="s">
        <v>31</v>
      </c>
      <c r="B29" s="20" t="s">
        <v>171</v>
      </c>
      <c r="C29" s="20" t="s">
        <v>173</v>
      </c>
      <c r="D29" s="20">
        <v>17.0</v>
      </c>
      <c r="E29" s="20">
        <v>141.0</v>
      </c>
      <c r="F29" s="20">
        <v>8.2</v>
      </c>
      <c r="G29" s="20">
        <v>0.0</v>
      </c>
      <c r="H29" s="20" t="s">
        <v>102</v>
      </c>
      <c r="I29" s="20" t="s">
        <v>63</v>
      </c>
      <c r="J29" s="20">
        <v>16.0</v>
      </c>
      <c r="K29" s="20">
        <v>2024.0</v>
      </c>
      <c r="L29" s="20" t="s">
        <v>36</v>
      </c>
    </row>
    <row r="30">
      <c r="A30" s="20" t="s">
        <v>31</v>
      </c>
      <c r="B30" s="20" t="s">
        <v>302</v>
      </c>
      <c r="C30" s="20" t="s">
        <v>230</v>
      </c>
      <c r="D30" s="20">
        <v>20.0</v>
      </c>
      <c r="E30" s="20">
        <v>290.0</v>
      </c>
      <c r="F30" s="20">
        <v>14.5</v>
      </c>
      <c r="G30" s="20">
        <v>0.0</v>
      </c>
      <c r="H30" s="20" t="s">
        <v>81</v>
      </c>
      <c r="I30" s="20" t="s">
        <v>30</v>
      </c>
      <c r="J30" s="20">
        <v>16.0</v>
      </c>
      <c r="K30" s="20">
        <v>2024.0</v>
      </c>
      <c r="L30" s="20" t="s">
        <v>36</v>
      </c>
    </row>
    <row r="31">
      <c r="A31" s="20" t="s">
        <v>31</v>
      </c>
      <c r="B31" s="20" t="s">
        <v>216</v>
      </c>
      <c r="C31" s="20" t="s">
        <v>51</v>
      </c>
      <c r="D31" s="20">
        <v>23.0</v>
      </c>
      <c r="E31" s="20">
        <v>86.0</v>
      </c>
      <c r="F31" s="20">
        <v>3.7</v>
      </c>
      <c r="G31" s="20">
        <v>0.0</v>
      </c>
      <c r="H31" s="20" t="s">
        <v>29</v>
      </c>
      <c r="I31" s="20" t="s">
        <v>35</v>
      </c>
      <c r="J31" s="20">
        <v>17.0</v>
      </c>
      <c r="K31" s="20">
        <v>2025.0</v>
      </c>
      <c r="L31" s="20" t="s">
        <v>36</v>
      </c>
    </row>
    <row r="32">
      <c r="A32" s="20" t="s">
        <v>31</v>
      </c>
      <c r="B32" s="20" t="s">
        <v>302</v>
      </c>
      <c r="C32" s="20" t="s">
        <v>230</v>
      </c>
      <c r="D32" s="20">
        <v>15.0</v>
      </c>
      <c r="E32" s="20">
        <v>25.0</v>
      </c>
      <c r="F32" s="20">
        <v>1.6</v>
      </c>
      <c r="G32" s="20">
        <v>0.0</v>
      </c>
      <c r="H32" s="20" t="s">
        <v>81</v>
      </c>
      <c r="I32" s="20" t="s">
        <v>187</v>
      </c>
      <c r="J32" s="20">
        <v>17.0</v>
      </c>
      <c r="K32" s="20">
        <v>2025.0</v>
      </c>
      <c r="L32" s="20" t="s">
        <v>36</v>
      </c>
    </row>
    <row r="33">
      <c r="A33" s="20" t="s">
        <v>31</v>
      </c>
      <c r="B33" s="20" t="s">
        <v>302</v>
      </c>
      <c r="C33" s="20" t="s">
        <v>230</v>
      </c>
      <c r="D33" s="20">
        <v>14.0</v>
      </c>
      <c r="E33" s="20">
        <v>81.0</v>
      </c>
      <c r="F33" s="20">
        <v>5.7</v>
      </c>
      <c r="G33" s="20">
        <v>0.0</v>
      </c>
      <c r="H33" s="20" t="s">
        <v>81</v>
      </c>
      <c r="I33" s="20" t="s">
        <v>187</v>
      </c>
      <c r="J33" s="20">
        <v>18.0</v>
      </c>
      <c r="K33" s="20">
        <v>2025.0</v>
      </c>
      <c r="L33" s="20" t="s">
        <v>36</v>
      </c>
    </row>
    <row r="34">
      <c r="A34" s="20" t="s">
        <v>31</v>
      </c>
      <c r="B34" s="20" t="s">
        <v>103</v>
      </c>
      <c r="C34" s="20" t="s">
        <v>104</v>
      </c>
      <c r="D34" s="20">
        <v>18.0</v>
      </c>
      <c r="E34" s="20">
        <v>74.0</v>
      </c>
      <c r="F34" s="20">
        <v>4.1</v>
      </c>
      <c r="G34" s="20">
        <v>0.0</v>
      </c>
      <c r="H34" s="20" t="s">
        <v>60</v>
      </c>
      <c r="I34" s="20" t="s">
        <v>35</v>
      </c>
      <c r="J34" s="20">
        <v>18.0</v>
      </c>
      <c r="K34" s="20">
        <v>2025.0</v>
      </c>
      <c r="L34" s="20" t="s">
        <v>36</v>
      </c>
    </row>
    <row r="35">
      <c r="A35" s="20" t="s">
        <v>31</v>
      </c>
      <c r="B35" s="20" t="s">
        <v>302</v>
      </c>
      <c r="C35" s="20" t="s">
        <v>230</v>
      </c>
      <c r="D35" s="20">
        <v>10.0</v>
      </c>
      <c r="E35" s="20">
        <v>59.0</v>
      </c>
      <c r="F35" s="20">
        <v>5.9</v>
      </c>
      <c r="G35" s="20">
        <v>0.0</v>
      </c>
      <c r="H35" s="20" t="s">
        <v>81</v>
      </c>
      <c r="I35" s="20" t="s">
        <v>187</v>
      </c>
      <c r="J35" s="20">
        <v>19.0</v>
      </c>
      <c r="K35" s="20">
        <v>2025.0</v>
      </c>
      <c r="L35" s="20" t="s">
        <v>36</v>
      </c>
    </row>
    <row r="36">
      <c r="A36" s="20" t="s">
        <v>22</v>
      </c>
      <c r="B36" s="20" t="s">
        <v>151</v>
      </c>
      <c r="C36" s="20" t="s">
        <v>152</v>
      </c>
      <c r="D36" s="20">
        <v>15.0</v>
      </c>
      <c r="E36" s="20">
        <v>14.0</v>
      </c>
      <c r="F36" s="20">
        <v>0.9</v>
      </c>
      <c r="G36" s="20">
        <v>0.0</v>
      </c>
      <c r="H36" s="20" t="s">
        <v>47</v>
      </c>
      <c r="I36" s="20" t="s">
        <v>35</v>
      </c>
      <c r="J36" s="20">
        <v>19.0</v>
      </c>
      <c r="K36" s="20">
        <v>2025.0</v>
      </c>
      <c r="L36" s="20" t="s">
        <v>36</v>
      </c>
    </row>
    <row r="37">
      <c r="A37" s="20" t="s">
        <v>22</v>
      </c>
      <c r="B37" s="20" t="s">
        <v>271</v>
      </c>
      <c r="C37" s="20" t="s">
        <v>272</v>
      </c>
      <c r="D37" s="20">
        <v>8.0</v>
      </c>
      <c r="E37" s="20">
        <v>44.0</v>
      </c>
      <c r="F37" s="20">
        <v>5.5</v>
      </c>
      <c r="G37" s="20">
        <v>0.0</v>
      </c>
      <c r="H37" s="20" t="s">
        <v>107</v>
      </c>
      <c r="I37" s="20" t="s">
        <v>205</v>
      </c>
      <c r="J37" s="20">
        <v>20.0</v>
      </c>
      <c r="K37" s="20">
        <v>2025.0</v>
      </c>
      <c r="L37" s="20" t="s">
        <v>36</v>
      </c>
    </row>
    <row r="38">
      <c r="A38" s="20" t="s">
        <v>22</v>
      </c>
      <c r="B38" s="20" t="s">
        <v>151</v>
      </c>
      <c r="C38" s="20" t="s">
        <v>152</v>
      </c>
      <c r="D38" s="20">
        <v>12.0</v>
      </c>
      <c r="E38" s="20">
        <v>135.0</v>
      </c>
      <c r="F38" s="20">
        <v>11.2</v>
      </c>
      <c r="G38" s="20">
        <v>1.0</v>
      </c>
      <c r="H38" s="20" t="s">
        <v>47</v>
      </c>
      <c r="I38" s="20" t="s">
        <v>30</v>
      </c>
      <c r="J38" s="20">
        <v>20.0</v>
      </c>
      <c r="K38" s="20">
        <v>2025.0</v>
      </c>
      <c r="L38" s="20" t="s">
        <v>36</v>
      </c>
    </row>
    <row r="39">
      <c r="A39" s="20" t="s">
        <v>22</v>
      </c>
      <c r="B39" s="20" t="s">
        <v>304</v>
      </c>
      <c r="C39" s="20" t="s">
        <v>305</v>
      </c>
      <c r="D39" s="20">
        <v>9.0</v>
      </c>
      <c r="E39" s="20">
        <v>174.0</v>
      </c>
      <c r="F39" s="20">
        <v>19.3</v>
      </c>
      <c r="G39" s="20">
        <v>0.0</v>
      </c>
      <c r="H39" s="20" t="s">
        <v>121</v>
      </c>
      <c r="I39" s="20" t="s">
        <v>30</v>
      </c>
      <c r="J39" s="20">
        <v>21.0</v>
      </c>
      <c r="K39" s="20">
        <v>2026.0</v>
      </c>
      <c r="L39" s="20" t="s">
        <v>36</v>
      </c>
    </row>
    <row r="40">
      <c r="A40" s="20" t="s">
        <v>31</v>
      </c>
      <c r="B40" s="20" t="s">
        <v>178</v>
      </c>
      <c r="C40" s="20" t="s">
        <v>292</v>
      </c>
      <c r="D40" s="20">
        <v>16.0</v>
      </c>
      <c r="E40" s="20">
        <v>186.0</v>
      </c>
      <c r="F40" s="20">
        <v>11.6</v>
      </c>
      <c r="G40" s="20">
        <v>0.0</v>
      </c>
      <c r="H40" s="20" t="s">
        <v>121</v>
      </c>
      <c r="I40" s="20" t="s">
        <v>30</v>
      </c>
      <c r="J40" s="20">
        <v>21.0</v>
      </c>
      <c r="K40" s="20">
        <v>2026.0</v>
      </c>
      <c r="L40" s="20" t="s">
        <v>36</v>
      </c>
    </row>
    <row r="41">
      <c r="A41" s="20" t="s">
        <v>31</v>
      </c>
      <c r="B41" s="20" t="s">
        <v>307</v>
      </c>
      <c r="C41" s="20" t="s">
        <v>296</v>
      </c>
      <c r="D41" s="20">
        <v>1.0</v>
      </c>
      <c r="E41" s="20">
        <v>12.0</v>
      </c>
      <c r="F41" s="20">
        <v>12.0</v>
      </c>
      <c r="G41" s="20">
        <v>0.0</v>
      </c>
      <c r="H41" s="20" t="s">
        <v>121</v>
      </c>
      <c r="I41" s="20" t="s">
        <v>30</v>
      </c>
      <c r="J41" s="20">
        <v>21.0</v>
      </c>
      <c r="K41" s="20">
        <v>2026.0</v>
      </c>
      <c r="L41" s="20" t="s">
        <v>36</v>
      </c>
    </row>
    <row r="42">
      <c r="A42" s="20" t="s">
        <v>22</v>
      </c>
      <c r="B42" s="20" t="s">
        <v>309</v>
      </c>
      <c r="C42" s="20" t="s">
        <v>310</v>
      </c>
      <c r="D42" s="20">
        <v>2.0</v>
      </c>
      <c r="E42" s="20">
        <v>10.0</v>
      </c>
      <c r="F42" s="20">
        <v>5.0</v>
      </c>
      <c r="G42" s="20">
        <v>0.0</v>
      </c>
      <c r="H42" s="20" t="s">
        <v>62</v>
      </c>
      <c r="I42" s="20" t="s">
        <v>205</v>
      </c>
      <c r="J42" s="20">
        <v>21.0</v>
      </c>
      <c r="K42" s="20">
        <v>2026.0</v>
      </c>
      <c r="L42" s="20" t="s">
        <v>36</v>
      </c>
    </row>
    <row r="43">
      <c r="A43" s="20" t="s">
        <v>31</v>
      </c>
      <c r="B43" s="20" t="s">
        <v>297</v>
      </c>
      <c r="C43" s="20" t="s">
        <v>298</v>
      </c>
      <c r="D43" s="20">
        <v>13.0</v>
      </c>
      <c r="E43" s="20">
        <v>95.0</v>
      </c>
      <c r="F43" s="20">
        <v>7.3</v>
      </c>
      <c r="G43" s="20">
        <v>0.0</v>
      </c>
      <c r="H43" s="20" t="s">
        <v>62</v>
      </c>
      <c r="I43" s="20" t="s">
        <v>205</v>
      </c>
      <c r="J43" s="20">
        <v>21.0</v>
      </c>
      <c r="K43" s="20">
        <v>2026.0</v>
      </c>
      <c r="L43" s="20" t="s">
        <v>36</v>
      </c>
    </row>
    <row r="44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</row>
    <row r="45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</row>
    <row r="46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</row>
    <row r="47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</row>
    <row r="48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</row>
    <row r="49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</row>
    <row r="50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</row>
    <row r="51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</row>
    <row r="52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</row>
    <row r="53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</row>
    <row r="54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</row>
    <row r="55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</row>
    <row r="56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</row>
    <row r="57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</row>
    <row r="58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</row>
    <row r="59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</row>
    <row r="60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</row>
    <row r="61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</row>
    <row r="62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</row>
    <row r="63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</row>
    <row r="64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</row>
    <row r="65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</row>
    <row r="66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</row>
    <row r="67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</row>
    <row r="68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</row>
    <row r="69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</row>
  </sheetData>
  <autoFilter ref="$A$2:$L$43"/>
  <mergeCells count="1">
    <mergeCell ref="A1:L1"/>
  </mergeCells>
  <conditionalFormatting sqref="D3:G69">
    <cfRule type="expression" dxfId="0" priority="1">
      <formula>D3&gt;=MAX(D$3:D$129)</formula>
    </cfRule>
  </conditionalFormatting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7.88"/>
    <col customWidth="1" min="2" max="2" width="11.5"/>
    <col customWidth="1" min="3" max="3" width="11.75"/>
    <col customWidth="1" min="4" max="4" width="10.25"/>
    <col customWidth="1" min="5" max="5" width="6.5"/>
    <col customWidth="1" min="6" max="6" width="6.75"/>
    <col customWidth="1" min="7" max="7" width="6.0"/>
    <col customWidth="1" min="8" max="8" width="7.63"/>
    <col customWidth="1" min="9" max="9" width="7.0"/>
    <col customWidth="1" min="10" max="10" width="8.88"/>
    <col customWidth="1" min="11" max="11" width="7.0"/>
    <col customWidth="1" min="12" max="12" width="6.75"/>
  </cols>
  <sheetData>
    <row r="1" ht="30.75" customHeight="1">
      <c r="A1" s="1" t="s">
        <v>316</v>
      </c>
    </row>
    <row r="2" ht="15.0" customHeight="1">
      <c r="A2" s="3" t="s">
        <v>3</v>
      </c>
      <c r="B2" s="3" t="s">
        <v>4</v>
      </c>
      <c r="C2" s="3" t="s">
        <v>5</v>
      </c>
      <c r="D2" s="3" t="s">
        <v>319</v>
      </c>
      <c r="E2" s="3" t="s">
        <v>9</v>
      </c>
      <c r="F2" s="3" t="s">
        <v>260</v>
      </c>
      <c r="G2" s="3" t="s">
        <v>12</v>
      </c>
      <c r="H2" s="3" t="s">
        <v>16</v>
      </c>
      <c r="I2" s="3" t="s">
        <v>17</v>
      </c>
      <c r="J2" s="3" t="s">
        <v>18</v>
      </c>
      <c r="K2" s="11" t="s">
        <v>19</v>
      </c>
      <c r="L2" s="12" t="s">
        <v>20</v>
      </c>
    </row>
    <row r="3" ht="15.0" customHeight="1">
      <c r="A3" s="13" t="s">
        <v>22</v>
      </c>
      <c r="B3" s="13" t="s">
        <v>153</v>
      </c>
      <c r="C3" s="13" t="s">
        <v>113</v>
      </c>
      <c r="D3" s="13">
        <v>42.0</v>
      </c>
      <c r="E3" s="13">
        <v>1226.0</v>
      </c>
      <c r="F3" s="13">
        <v>29.1</v>
      </c>
      <c r="G3" s="13">
        <v>3.0</v>
      </c>
      <c r="H3" s="13" t="s">
        <v>89</v>
      </c>
      <c r="I3" s="13" t="s">
        <v>30</v>
      </c>
      <c r="J3" s="13">
        <v>5.0</v>
      </c>
      <c r="K3" s="20">
        <f>vlookup(J3,Superbowls!$A$2:$B$115,2,FALSE)</f>
        <v>2010</v>
      </c>
      <c r="L3" s="20" t="s">
        <v>36</v>
      </c>
    </row>
    <row r="4" ht="15.0" customHeight="1">
      <c r="A4" s="13" t="s">
        <v>22</v>
      </c>
      <c r="B4" s="13" t="s">
        <v>262</v>
      </c>
      <c r="C4" s="13" t="s">
        <v>179</v>
      </c>
      <c r="D4" s="13">
        <v>35.0</v>
      </c>
      <c r="E4" s="13">
        <v>629.0</v>
      </c>
      <c r="F4" s="13">
        <v>17.9</v>
      </c>
      <c r="G4" s="13">
        <v>2.0</v>
      </c>
      <c r="H4" s="13" t="s">
        <v>70</v>
      </c>
      <c r="I4" s="13" t="s">
        <v>71</v>
      </c>
      <c r="J4" s="20">
        <v>6.0</v>
      </c>
      <c r="K4" s="20">
        <f>vlookup(J4,Superbowls!$A$2:$B$115,2,FALSE)</f>
        <v>2011</v>
      </c>
      <c r="L4" s="20" t="s">
        <v>36</v>
      </c>
    </row>
    <row r="5">
      <c r="A5" s="20" t="s">
        <v>22</v>
      </c>
      <c r="B5" s="20" t="s">
        <v>153</v>
      </c>
      <c r="C5" s="20" t="s">
        <v>113</v>
      </c>
      <c r="D5" s="20">
        <v>42.0</v>
      </c>
      <c r="E5" s="20">
        <v>911.0</v>
      </c>
      <c r="F5" s="20">
        <v>21.6</v>
      </c>
      <c r="G5" s="20">
        <v>6.0</v>
      </c>
      <c r="H5" s="20" t="s">
        <v>89</v>
      </c>
      <c r="I5" s="20" t="s">
        <v>30</v>
      </c>
      <c r="J5" s="20">
        <v>7.0</v>
      </c>
      <c r="K5" s="20">
        <f>vlookup(J5,Superbowls!$A$2:$B$115,2,FALSE)</f>
        <v>2017</v>
      </c>
      <c r="L5" s="20" t="s">
        <v>36</v>
      </c>
    </row>
    <row r="6">
      <c r="A6" s="20" t="s">
        <v>22</v>
      </c>
      <c r="B6" s="20" t="s">
        <v>271</v>
      </c>
      <c r="C6" s="20" t="s">
        <v>272</v>
      </c>
      <c r="D6" s="20">
        <v>56.0</v>
      </c>
      <c r="E6" s="20">
        <v>1089.0</v>
      </c>
      <c r="F6" s="20">
        <v>19.4</v>
      </c>
      <c r="G6" s="20">
        <v>2.0</v>
      </c>
      <c r="H6" s="20" t="s">
        <v>107</v>
      </c>
      <c r="I6" s="20" t="s">
        <v>63</v>
      </c>
      <c r="J6" s="20">
        <v>8.0</v>
      </c>
      <c r="K6" s="20">
        <f>vlookup(J6,Superbowls!$A$2:$B$115,2,FALSE)</f>
        <v>2017</v>
      </c>
      <c r="L6" s="20" t="s">
        <v>36</v>
      </c>
    </row>
    <row r="7">
      <c r="A7" s="20" t="s">
        <v>22</v>
      </c>
      <c r="B7" s="20" t="s">
        <v>324</v>
      </c>
      <c r="C7" s="20" t="s">
        <v>126</v>
      </c>
      <c r="D7" s="20">
        <v>10.0</v>
      </c>
      <c r="E7" s="20">
        <v>194.0</v>
      </c>
      <c r="F7" s="20">
        <v>19.4</v>
      </c>
      <c r="G7" s="20">
        <v>1.0</v>
      </c>
      <c r="H7" s="20" t="s">
        <v>131</v>
      </c>
      <c r="I7" s="20" t="s">
        <v>30</v>
      </c>
      <c r="J7" s="20">
        <v>8.0</v>
      </c>
      <c r="K7" s="20">
        <f>vlookup(J7,Superbowls!$A$2:$B$115,2,FALSE)</f>
        <v>2017</v>
      </c>
      <c r="L7" s="20" t="s">
        <v>36</v>
      </c>
    </row>
    <row r="8">
      <c r="A8" s="20" t="s">
        <v>22</v>
      </c>
      <c r="B8" s="20" t="s">
        <v>228</v>
      </c>
      <c r="C8" s="20" t="s">
        <v>110</v>
      </c>
      <c r="D8" s="20">
        <v>49.0</v>
      </c>
      <c r="E8" s="20">
        <v>882.0</v>
      </c>
      <c r="F8" s="20">
        <v>18.0</v>
      </c>
      <c r="G8" s="20">
        <v>3.0</v>
      </c>
      <c r="H8" s="20" t="s">
        <v>131</v>
      </c>
      <c r="I8" s="20" t="s">
        <v>30</v>
      </c>
      <c r="J8" s="20">
        <v>8.0</v>
      </c>
      <c r="K8" s="20">
        <f>vlookup(J8,Superbowls!$A$2:$B$115,2,FALSE)</f>
        <v>2017</v>
      </c>
      <c r="L8" s="20" t="s">
        <v>36</v>
      </c>
    </row>
    <row r="9">
      <c r="A9" s="20" t="s">
        <v>31</v>
      </c>
      <c r="B9" s="20" t="s">
        <v>330</v>
      </c>
      <c r="C9" s="20" t="s">
        <v>284</v>
      </c>
      <c r="D9" s="20">
        <v>45.0</v>
      </c>
      <c r="E9" s="20">
        <v>560.0</v>
      </c>
      <c r="F9" s="20">
        <v>12.4</v>
      </c>
      <c r="G9" s="20">
        <v>0.0</v>
      </c>
      <c r="H9" s="20" t="s">
        <v>93</v>
      </c>
      <c r="I9" s="20" t="s">
        <v>42</v>
      </c>
      <c r="J9" s="27">
        <v>9.0</v>
      </c>
      <c r="K9" s="20">
        <f>vlookup(J9,Superbowls!$A$2:$B$115,2,FALSE)</f>
        <v>2017</v>
      </c>
      <c r="L9" s="20" t="s">
        <v>36</v>
      </c>
    </row>
    <row r="10">
      <c r="A10" s="20" t="s">
        <v>31</v>
      </c>
      <c r="B10" s="20" t="s">
        <v>331</v>
      </c>
      <c r="C10" s="20" t="s">
        <v>332</v>
      </c>
      <c r="D10" s="20">
        <v>18.0</v>
      </c>
      <c r="E10" s="20">
        <v>339.0</v>
      </c>
      <c r="F10" s="20">
        <v>18.8</v>
      </c>
      <c r="G10" s="20">
        <v>1.0</v>
      </c>
      <c r="H10" s="20" t="s">
        <v>62</v>
      </c>
      <c r="I10" s="20" t="s">
        <v>30</v>
      </c>
      <c r="J10" s="27">
        <v>10.0</v>
      </c>
      <c r="K10" s="20">
        <f>vlookup(J10,Superbowls!$A$2:$B$115,2,FALSE)</f>
        <v>2018</v>
      </c>
      <c r="L10" s="20" t="s">
        <v>36</v>
      </c>
    </row>
    <row r="11">
      <c r="A11" s="20" t="s">
        <v>31</v>
      </c>
      <c r="B11" s="20" t="s">
        <v>333</v>
      </c>
      <c r="C11" s="20" t="s">
        <v>334</v>
      </c>
      <c r="D11" s="20">
        <v>32.0</v>
      </c>
      <c r="E11" s="20">
        <v>772.0</v>
      </c>
      <c r="F11" s="20">
        <v>24.1</v>
      </c>
      <c r="G11" s="20">
        <v>2.0</v>
      </c>
      <c r="H11" s="20" t="s">
        <v>112</v>
      </c>
      <c r="I11" s="20" t="s">
        <v>30</v>
      </c>
      <c r="J11" s="27">
        <v>11.0</v>
      </c>
      <c r="K11" s="20">
        <f>vlookup(J11,Superbowls!$A$2:$B$115,2,FALSE)</f>
        <v>2019</v>
      </c>
      <c r="L11" s="20" t="s">
        <v>36</v>
      </c>
    </row>
    <row r="12">
      <c r="A12" s="20" t="s">
        <v>22</v>
      </c>
      <c r="B12" s="20" t="s">
        <v>336</v>
      </c>
      <c r="C12" s="20" t="s">
        <v>100</v>
      </c>
      <c r="D12" s="20">
        <v>50.0</v>
      </c>
      <c r="E12" s="20">
        <v>743.0</v>
      </c>
      <c r="F12" s="20">
        <v>14.1</v>
      </c>
      <c r="G12" s="20">
        <v>1.0</v>
      </c>
      <c r="H12" s="20" t="s">
        <v>29</v>
      </c>
      <c r="I12" s="20" t="s">
        <v>42</v>
      </c>
      <c r="J12" s="27">
        <v>11.0</v>
      </c>
      <c r="K12" s="20">
        <f>vlookup(J12,Superbowls!$A$2:$B$115,2,FALSE)</f>
        <v>2019</v>
      </c>
      <c r="L12" s="20" t="s">
        <v>36</v>
      </c>
    </row>
    <row r="13">
      <c r="A13" s="20" t="s">
        <v>31</v>
      </c>
      <c r="B13" s="20" t="s">
        <v>337</v>
      </c>
      <c r="C13" s="20" t="s">
        <v>338</v>
      </c>
      <c r="D13" s="20">
        <v>42.0</v>
      </c>
      <c r="E13" s="20">
        <v>791.0</v>
      </c>
      <c r="F13" s="20">
        <v>18.8</v>
      </c>
      <c r="G13" s="20">
        <v>2.0</v>
      </c>
      <c r="H13" s="20" t="s">
        <v>161</v>
      </c>
      <c r="I13" s="20" t="s">
        <v>42</v>
      </c>
      <c r="J13" s="20">
        <v>12.0</v>
      </c>
      <c r="K13" s="20">
        <f>vlookup(J13,Superbowls!$A$2:$B$115,2,FALSE)</f>
        <v>2020</v>
      </c>
      <c r="L13" s="20" t="s">
        <v>36</v>
      </c>
    </row>
    <row r="14">
      <c r="A14" s="20" t="s">
        <v>31</v>
      </c>
      <c r="B14" s="20" t="s">
        <v>24</v>
      </c>
      <c r="C14" s="20" t="s">
        <v>339</v>
      </c>
      <c r="D14" s="20">
        <v>47.0</v>
      </c>
      <c r="E14" s="20">
        <v>538.0</v>
      </c>
      <c r="F14" s="20">
        <v>11.4</v>
      </c>
      <c r="G14" s="20">
        <v>0.0</v>
      </c>
      <c r="H14" s="20" t="s">
        <v>62</v>
      </c>
      <c r="I14" s="20" t="s">
        <v>42</v>
      </c>
      <c r="J14" s="20">
        <v>13.0</v>
      </c>
      <c r="K14" s="20">
        <f>vlookup(J14,Superbowls!$A$2:$B$115,2,FALSE)</f>
        <v>2021</v>
      </c>
      <c r="L14" s="20" t="s">
        <v>36</v>
      </c>
    </row>
    <row r="15">
      <c r="A15" s="20" t="s">
        <v>22</v>
      </c>
      <c r="B15" s="20" t="s">
        <v>336</v>
      </c>
      <c r="C15" s="20" t="s">
        <v>100</v>
      </c>
      <c r="D15" s="20">
        <v>51.0</v>
      </c>
      <c r="E15" s="20">
        <v>588.0</v>
      </c>
      <c r="F15" s="20">
        <v>11.5</v>
      </c>
      <c r="G15" s="20">
        <v>0.0</v>
      </c>
      <c r="H15" s="20" t="s">
        <v>29</v>
      </c>
      <c r="I15" s="20" t="s">
        <v>71</v>
      </c>
      <c r="J15" s="20">
        <v>13.0</v>
      </c>
      <c r="K15" s="20">
        <f>vlookup(J15,Superbowls!$A$2:$B$115,2,FALSE)</f>
        <v>2021</v>
      </c>
      <c r="L15" s="20" t="s">
        <v>36</v>
      </c>
    </row>
    <row r="16">
      <c r="A16" s="20" t="s">
        <v>31</v>
      </c>
      <c r="B16" s="20" t="s">
        <v>293</v>
      </c>
      <c r="C16" s="20" t="s">
        <v>294</v>
      </c>
      <c r="D16" s="20">
        <v>30.0</v>
      </c>
      <c r="E16" s="20">
        <v>473.0</v>
      </c>
      <c r="F16" s="20">
        <v>15.7</v>
      </c>
      <c r="G16" s="20">
        <v>0.0</v>
      </c>
      <c r="H16" s="20" t="s">
        <v>34</v>
      </c>
      <c r="I16" s="20" t="s">
        <v>30</v>
      </c>
      <c r="J16" s="20">
        <v>13.0</v>
      </c>
      <c r="K16" s="20">
        <f>vlookup(J16,Superbowls!$A$2:$B$115,2,FALSE)</f>
        <v>2021</v>
      </c>
      <c r="L16" s="20" t="s">
        <v>36</v>
      </c>
    </row>
    <row r="17">
      <c r="A17" s="20" t="s">
        <v>31</v>
      </c>
      <c r="B17" s="20" t="s">
        <v>290</v>
      </c>
      <c r="C17" s="20" t="s">
        <v>291</v>
      </c>
      <c r="D17" s="20">
        <v>11.0</v>
      </c>
      <c r="E17" s="20">
        <v>226.0</v>
      </c>
      <c r="F17" s="20">
        <v>20.5</v>
      </c>
      <c r="G17" s="20">
        <v>1.0</v>
      </c>
      <c r="H17" s="20" t="s">
        <v>34</v>
      </c>
      <c r="I17" s="20" t="s">
        <v>30</v>
      </c>
      <c r="J17" s="20">
        <v>13.0</v>
      </c>
      <c r="K17" s="20">
        <f>vlookup(J17,Superbowls!$A$2:$B$115,2,FALSE)</f>
        <v>2021</v>
      </c>
      <c r="L17" s="20" t="s">
        <v>36</v>
      </c>
    </row>
    <row r="18">
      <c r="A18" s="20" t="s">
        <v>22</v>
      </c>
      <c r="B18" s="20" t="s">
        <v>271</v>
      </c>
      <c r="C18" s="20" t="s">
        <v>272</v>
      </c>
      <c r="D18" s="20">
        <v>48.0</v>
      </c>
      <c r="E18" s="20">
        <v>936.0</v>
      </c>
      <c r="F18" s="20">
        <v>19.5</v>
      </c>
      <c r="G18" s="20">
        <v>0.0</v>
      </c>
      <c r="H18" s="20" t="s">
        <v>107</v>
      </c>
      <c r="I18" s="20" t="s">
        <v>30</v>
      </c>
      <c r="J18" s="20">
        <v>14.0</v>
      </c>
      <c r="K18" s="20">
        <f>vlookup(J18,Superbowls!$A$2:$B$115,2,FALSE)</f>
        <v>2022</v>
      </c>
      <c r="L18" s="20" t="s">
        <v>36</v>
      </c>
    </row>
    <row r="19">
      <c r="A19" s="20" t="s">
        <v>22</v>
      </c>
      <c r="B19" s="20" t="s">
        <v>189</v>
      </c>
      <c r="C19" s="20" t="s">
        <v>349</v>
      </c>
      <c r="D19" s="20">
        <v>19.0</v>
      </c>
      <c r="E19" s="20">
        <v>341.0</v>
      </c>
      <c r="F19" s="20">
        <v>17.9</v>
      </c>
      <c r="G19" s="20">
        <v>0.0</v>
      </c>
      <c r="H19" s="20" t="s">
        <v>114</v>
      </c>
      <c r="I19" s="20" t="s">
        <v>42</v>
      </c>
      <c r="J19" s="20">
        <v>14.0</v>
      </c>
      <c r="K19" s="20">
        <f>vlookup(J19,Superbowls!$A$2:$B$115,2,FALSE)</f>
        <v>2022</v>
      </c>
      <c r="L19" s="20" t="s">
        <v>36</v>
      </c>
    </row>
    <row r="20">
      <c r="A20" s="20" t="s">
        <v>22</v>
      </c>
      <c r="B20" s="20" t="s">
        <v>262</v>
      </c>
      <c r="C20" s="20" t="s">
        <v>179</v>
      </c>
      <c r="D20" s="20">
        <v>46.0</v>
      </c>
      <c r="E20" s="20">
        <v>852.0</v>
      </c>
      <c r="F20" s="20">
        <v>18.5</v>
      </c>
      <c r="G20" s="20">
        <v>1.0</v>
      </c>
      <c r="H20" s="20" t="s">
        <v>70</v>
      </c>
      <c r="I20" s="20" t="s">
        <v>71</v>
      </c>
      <c r="J20" s="20">
        <v>15.0</v>
      </c>
      <c r="K20" s="20">
        <f>vlookup(J20,Superbowls!$A$2:$B$115,2,FALSE)</f>
        <v>2023</v>
      </c>
      <c r="L20" s="20" t="s">
        <v>36</v>
      </c>
    </row>
    <row r="21">
      <c r="A21" s="20" t="s">
        <v>22</v>
      </c>
      <c r="B21" s="20" t="s">
        <v>151</v>
      </c>
      <c r="C21" s="20" t="s">
        <v>152</v>
      </c>
      <c r="D21" s="20">
        <v>54.0</v>
      </c>
      <c r="E21" s="20">
        <v>733.0</v>
      </c>
      <c r="F21" s="20">
        <v>13.5</v>
      </c>
      <c r="G21" s="20">
        <v>0.0</v>
      </c>
      <c r="H21" s="20" t="s">
        <v>47</v>
      </c>
      <c r="I21" s="20" t="s">
        <v>42</v>
      </c>
      <c r="J21" s="20">
        <v>15.0</v>
      </c>
      <c r="K21" s="20">
        <f>vlookup(J21,Superbowls!$A$2:$B$115,2,FALSE)</f>
        <v>2023</v>
      </c>
      <c r="L21" s="20" t="s">
        <v>36</v>
      </c>
    </row>
    <row r="22">
      <c r="A22" s="20" t="s">
        <v>22</v>
      </c>
      <c r="B22" s="20" t="s">
        <v>333</v>
      </c>
      <c r="C22" s="20" t="s">
        <v>334</v>
      </c>
      <c r="D22" s="20">
        <v>33.0</v>
      </c>
      <c r="E22" s="20">
        <v>329.0</v>
      </c>
      <c r="F22" s="20">
        <v>9.9</v>
      </c>
      <c r="G22" s="20">
        <v>0.0</v>
      </c>
      <c r="H22" s="20" t="s">
        <v>112</v>
      </c>
      <c r="I22" s="20" t="s">
        <v>35</v>
      </c>
      <c r="J22" s="20">
        <v>15.0</v>
      </c>
      <c r="K22" s="20">
        <f>vlookup(J22,Superbowls!$A$2:$B$115,2,FALSE)</f>
        <v>2023</v>
      </c>
      <c r="L22" s="20" t="s">
        <v>36</v>
      </c>
    </row>
    <row r="23">
      <c r="A23" s="20" t="s">
        <v>31</v>
      </c>
      <c r="B23" s="20" t="s">
        <v>337</v>
      </c>
      <c r="C23" s="20" t="s">
        <v>338</v>
      </c>
      <c r="D23" s="20">
        <v>39.0</v>
      </c>
      <c r="E23" s="20">
        <v>899.0</v>
      </c>
      <c r="F23" s="20">
        <v>23.0</v>
      </c>
      <c r="G23" s="20">
        <v>2.0</v>
      </c>
      <c r="H23" s="20" t="s">
        <v>161</v>
      </c>
      <c r="I23" s="20" t="s">
        <v>30</v>
      </c>
      <c r="J23" s="20">
        <v>15.0</v>
      </c>
      <c r="K23" s="20">
        <f>vlookup(J23,Superbowls!$A$2:$B$115,2,FALSE)</f>
        <v>2023</v>
      </c>
      <c r="L23" s="20" t="s">
        <v>36</v>
      </c>
    </row>
    <row r="24">
      <c r="A24" s="20" t="s">
        <v>22</v>
      </c>
      <c r="B24" s="20" t="s">
        <v>180</v>
      </c>
      <c r="C24" s="20" t="s">
        <v>181</v>
      </c>
      <c r="D24" s="20">
        <v>42.0</v>
      </c>
      <c r="E24" s="20">
        <v>587.0</v>
      </c>
      <c r="F24" s="20">
        <v>13.9</v>
      </c>
      <c r="G24" s="20">
        <v>0.0</v>
      </c>
      <c r="H24" s="20" t="s">
        <v>145</v>
      </c>
      <c r="I24" s="20" t="s">
        <v>42</v>
      </c>
      <c r="J24" s="20">
        <v>16.0</v>
      </c>
      <c r="K24" s="20">
        <v>2024.0</v>
      </c>
      <c r="L24" s="20" t="s">
        <v>36</v>
      </c>
    </row>
    <row r="25">
      <c r="A25" s="20" t="s">
        <v>22</v>
      </c>
      <c r="B25" s="20" t="s">
        <v>153</v>
      </c>
      <c r="C25" s="20" t="s">
        <v>113</v>
      </c>
      <c r="D25" s="20">
        <v>49.0</v>
      </c>
      <c r="E25" s="20">
        <v>834.0</v>
      </c>
      <c r="F25" s="20">
        <v>17.0</v>
      </c>
      <c r="G25" s="20">
        <v>1.0</v>
      </c>
      <c r="H25" s="20" t="s">
        <v>89</v>
      </c>
      <c r="I25" s="20" t="s">
        <v>175</v>
      </c>
      <c r="J25" s="20">
        <v>16.0</v>
      </c>
      <c r="K25" s="20">
        <v>2024.0</v>
      </c>
      <c r="L25" s="20" t="s">
        <v>36</v>
      </c>
    </row>
    <row r="26">
      <c r="A26" s="20" t="s">
        <v>31</v>
      </c>
      <c r="B26" s="20" t="s">
        <v>286</v>
      </c>
      <c r="C26" s="20" t="s">
        <v>287</v>
      </c>
      <c r="D26" s="20">
        <v>48.0</v>
      </c>
      <c r="E26" s="20">
        <v>539.0</v>
      </c>
      <c r="F26" s="20">
        <v>11.2</v>
      </c>
      <c r="G26" s="20">
        <v>0.0</v>
      </c>
      <c r="H26" s="20" t="s">
        <v>101</v>
      </c>
      <c r="I26" s="20" t="s">
        <v>35</v>
      </c>
      <c r="J26" s="20">
        <v>16.0</v>
      </c>
      <c r="K26" s="20">
        <v>2024.0</v>
      </c>
      <c r="L26" s="20" t="s">
        <v>36</v>
      </c>
    </row>
    <row r="27">
      <c r="A27" s="20" t="s">
        <v>31</v>
      </c>
      <c r="B27" s="20" t="s">
        <v>216</v>
      </c>
      <c r="C27" s="20" t="s">
        <v>305</v>
      </c>
      <c r="D27" s="20">
        <v>53.0</v>
      </c>
      <c r="E27" s="20">
        <v>708.0</v>
      </c>
      <c r="F27" s="20">
        <v>13.3</v>
      </c>
      <c r="G27" s="20">
        <v>0.0</v>
      </c>
      <c r="H27" s="20" t="s">
        <v>102</v>
      </c>
      <c r="I27" s="20" t="s">
        <v>63</v>
      </c>
      <c r="J27" s="20">
        <v>16.0</v>
      </c>
      <c r="K27" s="20">
        <v>2024.0</v>
      </c>
      <c r="L27" s="20" t="s">
        <v>36</v>
      </c>
    </row>
    <row r="28">
      <c r="A28" s="20" t="s">
        <v>22</v>
      </c>
      <c r="B28" s="20" t="s">
        <v>37</v>
      </c>
      <c r="C28" s="20" t="s">
        <v>196</v>
      </c>
      <c r="D28" s="20">
        <v>31.0</v>
      </c>
      <c r="E28" s="20">
        <v>382.0</v>
      </c>
      <c r="F28" s="20">
        <v>12.3</v>
      </c>
      <c r="G28" s="20">
        <v>0.0</v>
      </c>
      <c r="H28" s="20" t="s">
        <v>81</v>
      </c>
      <c r="I28" s="20" t="s">
        <v>30</v>
      </c>
      <c r="J28" s="20">
        <v>16.0</v>
      </c>
      <c r="K28" s="20">
        <v>2024.0</v>
      </c>
      <c r="L28" s="20" t="s">
        <v>36</v>
      </c>
    </row>
    <row r="29">
      <c r="A29" s="20" t="s">
        <v>22</v>
      </c>
      <c r="B29" s="20" t="s">
        <v>37</v>
      </c>
      <c r="C29" s="20" t="s">
        <v>196</v>
      </c>
      <c r="D29" s="20">
        <v>48.0</v>
      </c>
      <c r="E29" s="20">
        <v>349.0</v>
      </c>
      <c r="F29" s="20">
        <v>7.2</v>
      </c>
      <c r="G29" s="20">
        <v>0.0</v>
      </c>
      <c r="H29" s="20" t="s">
        <v>81</v>
      </c>
      <c r="I29" s="20" t="s">
        <v>187</v>
      </c>
      <c r="J29" s="20">
        <v>17.0</v>
      </c>
      <c r="K29" s="20">
        <v>2025.0</v>
      </c>
      <c r="L29" s="20" t="s">
        <v>36</v>
      </c>
    </row>
    <row r="30">
      <c r="A30" s="20" t="s">
        <v>31</v>
      </c>
      <c r="B30" s="20" t="s">
        <v>195</v>
      </c>
      <c r="C30" s="20" t="s">
        <v>196</v>
      </c>
      <c r="D30" s="20">
        <v>14.0</v>
      </c>
      <c r="E30" s="20">
        <v>104.0</v>
      </c>
      <c r="F30" s="20">
        <v>7.4</v>
      </c>
      <c r="G30" s="20">
        <v>0.0</v>
      </c>
      <c r="H30" s="20" t="s">
        <v>81</v>
      </c>
      <c r="I30" s="20" t="s">
        <v>187</v>
      </c>
      <c r="J30" s="20">
        <v>17.0</v>
      </c>
      <c r="K30" s="20">
        <v>2025.0</v>
      </c>
      <c r="L30" s="20" t="s">
        <v>36</v>
      </c>
    </row>
    <row r="31">
      <c r="A31" s="20" t="s">
        <v>22</v>
      </c>
      <c r="B31" s="20" t="s">
        <v>336</v>
      </c>
      <c r="C31" s="20" t="s">
        <v>100</v>
      </c>
      <c r="D31" s="20">
        <v>38.0</v>
      </c>
      <c r="E31" s="20">
        <v>320.0</v>
      </c>
      <c r="F31" s="20">
        <v>8.4</v>
      </c>
      <c r="G31" s="20">
        <v>0.0</v>
      </c>
      <c r="H31" s="20" t="s">
        <v>29</v>
      </c>
      <c r="I31" s="20" t="s">
        <v>35</v>
      </c>
      <c r="J31" s="20">
        <v>17.0</v>
      </c>
      <c r="K31" s="20">
        <v>2025.0</v>
      </c>
      <c r="L31" s="20" t="s">
        <v>36</v>
      </c>
    </row>
    <row r="32">
      <c r="A32" s="20" t="s">
        <v>22</v>
      </c>
      <c r="B32" s="20" t="s">
        <v>216</v>
      </c>
      <c r="C32" s="20" t="s">
        <v>51</v>
      </c>
      <c r="D32" s="20">
        <v>4.0</v>
      </c>
      <c r="E32" s="20">
        <v>79.0</v>
      </c>
      <c r="F32" s="20">
        <v>19.7</v>
      </c>
      <c r="G32" s="20">
        <v>0.0</v>
      </c>
      <c r="H32" s="20" t="s">
        <v>29</v>
      </c>
      <c r="I32" s="20" t="s">
        <v>35</v>
      </c>
      <c r="J32" s="20">
        <v>17.0</v>
      </c>
      <c r="K32" s="20">
        <v>2025.0</v>
      </c>
      <c r="L32" s="20" t="s">
        <v>36</v>
      </c>
    </row>
    <row r="33">
      <c r="A33" s="20" t="s">
        <v>22</v>
      </c>
      <c r="B33" s="20" t="s">
        <v>359</v>
      </c>
      <c r="C33" s="20" t="s">
        <v>360</v>
      </c>
      <c r="D33" s="20">
        <v>7.0</v>
      </c>
      <c r="E33" s="20">
        <v>29.0</v>
      </c>
      <c r="F33" s="20">
        <v>4.1</v>
      </c>
      <c r="G33" s="20">
        <v>0.0</v>
      </c>
      <c r="H33" s="20" t="s">
        <v>60</v>
      </c>
      <c r="I33" s="20" t="s">
        <v>35</v>
      </c>
      <c r="J33" s="20">
        <v>18.0</v>
      </c>
      <c r="K33" s="20">
        <v>2025.0</v>
      </c>
      <c r="L33" s="20" t="s">
        <v>36</v>
      </c>
    </row>
    <row r="34">
      <c r="A34" s="20" t="s">
        <v>22</v>
      </c>
      <c r="B34" s="20" t="s">
        <v>344</v>
      </c>
      <c r="C34" s="20" t="s">
        <v>361</v>
      </c>
      <c r="D34" s="20">
        <v>39.0</v>
      </c>
      <c r="E34" s="20">
        <v>364.0</v>
      </c>
      <c r="F34" s="20">
        <v>9.3</v>
      </c>
      <c r="G34" s="20">
        <v>1.0</v>
      </c>
      <c r="H34" s="20" t="s">
        <v>60</v>
      </c>
      <c r="I34" s="20" t="s">
        <v>35</v>
      </c>
      <c r="J34" s="20">
        <v>18.0</v>
      </c>
      <c r="K34" s="20">
        <v>2025.0</v>
      </c>
      <c r="L34" s="20" t="s">
        <v>36</v>
      </c>
    </row>
    <row r="35">
      <c r="A35" s="20" t="s">
        <v>22</v>
      </c>
      <c r="B35" s="20" t="s">
        <v>192</v>
      </c>
      <c r="C35" s="20" t="s">
        <v>194</v>
      </c>
      <c r="D35" s="20">
        <v>13.0</v>
      </c>
      <c r="E35" s="20">
        <v>82.0</v>
      </c>
      <c r="F35" s="20">
        <v>6.3</v>
      </c>
      <c r="G35" s="20">
        <v>0.0</v>
      </c>
      <c r="H35" s="20" t="s">
        <v>81</v>
      </c>
      <c r="I35" s="20" t="s">
        <v>187</v>
      </c>
      <c r="J35" s="20">
        <v>18.0</v>
      </c>
      <c r="K35" s="20">
        <v>2025.0</v>
      </c>
      <c r="L35" s="20" t="s">
        <v>36</v>
      </c>
    </row>
    <row r="36">
      <c r="A36" s="20" t="s">
        <v>22</v>
      </c>
      <c r="B36" s="20" t="s">
        <v>37</v>
      </c>
      <c r="C36" s="20" t="s">
        <v>196</v>
      </c>
      <c r="D36" s="20">
        <v>47.0</v>
      </c>
      <c r="E36" s="20">
        <v>457.0</v>
      </c>
      <c r="F36" s="20">
        <v>9.7</v>
      </c>
      <c r="G36" s="20">
        <v>0.0</v>
      </c>
      <c r="H36" s="20" t="s">
        <v>81</v>
      </c>
      <c r="I36" s="20" t="s">
        <v>187</v>
      </c>
      <c r="J36" s="20">
        <v>18.0</v>
      </c>
      <c r="K36" s="20">
        <v>2025.0</v>
      </c>
      <c r="L36" s="20" t="s">
        <v>36</v>
      </c>
    </row>
    <row r="37">
      <c r="A37" s="20" t="s">
        <v>22</v>
      </c>
      <c r="B37" s="20" t="s">
        <v>151</v>
      </c>
      <c r="C37" s="20" t="s">
        <v>152</v>
      </c>
      <c r="D37" s="20">
        <v>58.0</v>
      </c>
      <c r="E37" s="20">
        <v>107.0</v>
      </c>
      <c r="F37" s="20">
        <v>1.8</v>
      </c>
      <c r="G37" s="20">
        <v>0.0</v>
      </c>
      <c r="H37" s="20" t="s">
        <v>47</v>
      </c>
      <c r="I37" s="20" t="s">
        <v>35</v>
      </c>
      <c r="J37" s="20">
        <v>19.0</v>
      </c>
      <c r="K37" s="20">
        <v>2025.0</v>
      </c>
      <c r="L37" s="20" t="s">
        <v>36</v>
      </c>
    </row>
    <row r="38">
      <c r="A38" s="20" t="s">
        <v>22</v>
      </c>
      <c r="B38" s="20" t="s">
        <v>37</v>
      </c>
      <c r="C38" s="20" t="s">
        <v>196</v>
      </c>
      <c r="D38" s="20">
        <v>62.0</v>
      </c>
      <c r="E38" s="20">
        <v>721.0</v>
      </c>
      <c r="F38" s="20">
        <v>11.6</v>
      </c>
      <c r="G38" s="20">
        <v>0.0</v>
      </c>
      <c r="H38" s="20" t="s">
        <v>81</v>
      </c>
      <c r="I38" s="20" t="s">
        <v>187</v>
      </c>
      <c r="J38" s="20">
        <v>19.0</v>
      </c>
      <c r="K38" s="20">
        <v>2025.0</v>
      </c>
      <c r="L38" s="20" t="s">
        <v>36</v>
      </c>
    </row>
    <row r="39">
      <c r="A39" s="20" t="s">
        <v>22</v>
      </c>
      <c r="B39" s="20" t="s">
        <v>151</v>
      </c>
      <c r="C39" s="20" t="s">
        <v>152</v>
      </c>
      <c r="D39" s="20">
        <v>36.0</v>
      </c>
      <c r="E39" s="20">
        <v>624.0</v>
      </c>
      <c r="F39" s="20">
        <v>17.3</v>
      </c>
      <c r="G39" s="20">
        <v>1.0</v>
      </c>
      <c r="H39" s="20" t="s">
        <v>47</v>
      </c>
      <c r="I39" s="20" t="s">
        <v>30</v>
      </c>
      <c r="J39" s="20">
        <v>20.0</v>
      </c>
      <c r="K39" s="20">
        <v>2025.0</v>
      </c>
      <c r="L39" s="20" t="s">
        <v>36</v>
      </c>
    </row>
    <row r="40">
      <c r="A40" s="20" t="s">
        <v>22</v>
      </c>
      <c r="B40" s="20" t="s">
        <v>271</v>
      </c>
      <c r="C40" s="20" t="s">
        <v>272</v>
      </c>
      <c r="D40" s="20">
        <v>47.0</v>
      </c>
      <c r="E40" s="20">
        <v>909.0</v>
      </c>
      <c r="F40" s="20">
        <v>19.3</v>
      </c>
      <c r="G40" s="20">
        <v>1.0</v>
      </c>
      <c r="H40" s="20" t="s">
        <v>107</v>
      </c>
      <c r="I40" s="20" t="s">
        <v>205</v>
      </c>
      <c r="J40" s="20">
        <v>20.0</v>
      </c>
      <c r="K40" s="20">
        <v>2025.0</v>
      </c>
      <c r="L40" s="20" t="s">
        <v>36</v>
      </c>
    </row>
    <row r="41">
      <c r="A41" s="20" t="s">
        <v>22</v>
      </c>
      <c r="B41" s="20" t="s">
        <v>365</v>
      </c>
      <c r="C41" s="20" t="s">
        <v>366</v>
      </c>
      <c r="D41" s="20">
        <v>20.0</v>
      </c>
      <c r="E41" s="20">
        <v>470.0</v>
      </c>
      <c r="F41" s="20">
        <v>23.5</v>
      </c>
      <c r="G41" s="20">
        <v>0.0</v>
      </c>
      <c r="H41" s="20" t="s">
        <v>107</v>
      </c>
      <c r="I41" s="20" t="s">
        <v>205</v>
      </c>
      <c r="J41" s="20">
        <v>20.0</v>
      </c>
      <c r="K41" s="20">
        <v>2025.0</v>
      </c>
      <c r="L41" s="20" t="s">
        <v>36</v>
      </c>
    </row>
    <row r="42">
      <c r="A42" s="20" t="s">
        <v>22</v>
      </c>
      <c r="B42" s="20" t="s">
        <v>304</v>
      </c>
      <c r="C42" s="20" t="s">
        <v>305</v>
      </c>
      <c r="D42" s="20">
        <v>22.0</v>
      </c>
      <c r="E42" s="20">
        <v>316.0</v>
      </c>
      <c r="F42" s="20">
        <v>14.3</v>
      </c>
      <c r="G42" s="20">
        <v>0.0</v>
      </c>
      <c r="H42" s="20" t="s">
        <v>121</v>
      </c>
      <c r="I42" s="20" t="s">
        <v>30</v>
      </c>
      <c r="J42" s="20">
        <v>21.0</v>
      </c>
      <c r="K42" s="20">
        <v>2026.0</v>
      </c>
      <c r="L42" s="20" t="s">
        <v>36</v>
      </c>
    </row>
    <row r="43">
      <c r="A43" s="20" t="s">
        <v>31</v>
      </c>
      <c r="B43" s="20" t="s">
        <v>178</v>
      </c>
      <c r="C43" s="20" t="s">
        <v>292</v>
      </c>
      <c r="D43" s="20">
        <v>27.0</v>
      </c>
      <c r="E43" s="20">
        <v>389.0</v>
      </c>
      <c r="F43" s="20">
        <v>14.4</v>
      </c>
      <c r="G43" s="20">
        <v>0.0</v>
      </c>
      <c r="H43" s="20" t="s">
        <v>121</v>
      </c>
      <c r="I43" s="20" t="s">
        <v>30</v>
      </c>
      <c r="J43" s="20">
        <v>21.0</v>
      </c>
      <c r="K43" s="20">
        <v>2026.0</v>
      </c>
      <c r="L43" s="20" t="s">
        <v>36</v>
      </c>
    </row>
    <row r="44">
      <c r="A44" s="20" t="s">
        <v>31</v>
      </c>
      <c r="B44" s="20" t="s">
        <v>24</v>
      </c>
      <c r="C44" s="20" t="s">
        <v>339</v>
      </c>
      <c r="D44" s="20">
        <v>64.0</v>
      </c>
      <c r="E44" s="20">
        <v>803.0</v>
      </c>
      <c r="F44" s="20">
        <v>12.5</v>
      </c>
      <c r="G44" s="20">
        <v>0.0</v>
      </c>
      <c r="H44" s="20" t="s">
        <v>62</v>
      </c>
      <c r="I44" s="20" t="s">
        <v>205</v>
      </c>
      <c r="J44" s="20">
        <v>21.0</v>
      </c>
      <c r="K44" s="20">
        <v>2026.0</v>
      </c>
      <c r="L44" s="20" t="s">
        <v>36</v>
      </c>
    </row>
    <row r="45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</row>
  </sheetData>
  <autoFilter ref="$A$2:$L$45"/>
  <mergeCells count="1">
    <mergeCell ref="A1:L1"/>
  </mergeCells>
  <conditionalFormatting sqref="D3:G45">
    <cfRule type="expression" dxfId="0" priority="1">
      <formula>D3&gt;=MAX(D$3:D$99)</formula>
    </cfRule>
  </conditionalFormatting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2.75"/>
  <cols>
    <col customWidth="1" min="1" max="1" width="6.88"/>
    <col customWidth="1" min="2" max="2" width="11.5"/>
    <col customWidth="1" min="3" max="3" width="11.75"/>
    <col customWidth="1" min="4" max="4" width="2.88"/>
    <col customWidth="1" min="5" max="5" width="6.5"/>
    <col customWidth="1" min="6" max="6" width="6.75"/>
    <col customWidth="1" min="7" max="7" width="7.63"/>
    <col customWidth="1" min="8" max="8" width="7.0"/>
    <col customWidth="1" min="9" max="9" width="8.88"/>
    <col customWidth="1" min="10" max="10" width="7.0"/>
    <col customWidth="1" min="11" max="11" width="6.75"/>
  </cols>
  <sheetData>
    <row r="1">
      <c r="A1" s="43" t="s">
        <v>371</v>
      </c>
    </row>
    <row r="2">
      <c r="A2" s="3" t="s">
        <v>3</v>
      </c>
      <c r="B2" s="3" t="s">
        <v>4</v>
      </c>
      <c r="C2" s="3" t="s">
        <v>5</v>
      </c>
      <c r="D2" s="12" t="s">
        <v>36</v>
      </c>
      <c r="E2" s="3" t="s">
        <v>9</v>
      </c>
      <c r="F2" s="3" t="s">
        <v>260</v>
      </c>
      <c r="G2" s="3" t="s">
        <v>16</v>
      </c>
      <c r="H2" s="3" t="s">
        <v>17</v>
      </c>
      <c r="I2" s="3" t="s">
        <v>18</v>
      </c>
      <c r="J2" s="11" t="s">
        <v>19</v>
      </c>
      <c r="K2" s="12" t="s">
        <v>20</v>
      </c>
    </row>
    <row r="3">
      <c r="A3" s="20" t="s">
        <v>372</v>
      </c>
      <c r="B3" s="20" t="s">
        <v>373</v>
      </c>
      <c r="C3" s="20" t="s">
        <v>374</v>
      </c>
      <c r="D3" s="20">
        <v>3.0</v>
      </c>
      <c r="E3" s="20">
        <v>233.0</v>
      </c>
      <c r="F3" s="20">
        <v>77.6</v>
      </c>
      <c r="G3" s="20" t="s">
        <v>89</v>
      </c>
      <c r="H3" s="20" t="s">
        <v>30</v>
      </c>
      <c r="I3" s="20">
        <v>7.0</v>
      </c>
      <c r="J3" s="20">
        <f>vlookup(I3,Superbowls!$A$2:$B$115,2,FALSE)</f>
        <v>2017</v>
      </c>
      <c r="K3" s="20" t="s">
        <v>36</v>
      </c>
    </row>
    <row r="4">
      <c r="A4" s="20" t="s">
        <v>372</v>
      </c>
      <c r="B4" s="20" t="s">
        <v>375</v>
      </c>
      <c r="C4" s="20" t="s">
        <v>358</v>
      </c>
      <c r="D4" s="20">
        <v>10.0</v>
      </c>
      <c r="E4" s="20">
        <v>669.0</v>
      </c>
      <c r="F4" s="20">
        <v>66.9</v>
      </c>
      <c r="G4" s="20" t="s">
        <v>114</v>
      </c>
      <c r="H4" s="20" t="s">
        <v>42</v>
      </c>
      <c r="I4" s="20">
        <v>7.0</v>
      </c>
      <c r="J4" s="20">
        <f>vlookup(I4,Superbowls!$A$2:$B$115,2,FALSE)</f>
        <v>2017</v>
      </c>
      <c r="K4" s="20" t="s">
        <v>36</v>
      </c>
    </row>
    <row r="5">
      <c r="A5" s="20" t="s">
        <v>372</v>
      </c>
      <c r="B5" s="20" t="s">
        <v>379</v>
      </c>
      <c r="C5" s="20" t="s">
        <v>343</v>
      </c>
      <c r="D5" s="20">
        <v>9.0</v>
      </c>
      <c r="E5" s="20">
        <v>639.0</v>
      </c>
      <c r="F5" s="20">
        <v>71.0</v>
      </c>
      <c r="G5" s="20" t="s">
        <v>131</v>
      </c>
      <c r="H5" s="20" t="s">
        <v>30</v>
      </c>
      <c r="I5" s="20">
        <v>8.0</v>
      </c>
      <c r="J5" s="20">
        <f>vlookup(I5,Superbowls!$A$2:$B$115,2,FALSE)</f>
        <v>2017</v>
      </c>
      <c r="K5" s="20" t="s">
        <v>36</v>
      </c>
    </row>
    <row r="6">
      <c r="A6" s="20" t="s">
        <v>372</v>
      </c>
      <c r="B6" s="20" t="s">
        <v>381</v>
      </c>
      <c r="C6" s="20" t="s">
        <v>382</v>
      </c>
      <c r="D6" s="20">
        <v>7.0</v>
      </c>
      <c r="E6" s="20">
        <v>462.0</v>
      </c>
      <c r="F6" s="20">
        <v>66.0</v>
      </c>
      <c r="G6" s="20" t="s">
        <v>124</v>
      </c>
      <c r="H6" s="20" t="s">
        <v>35</v>
      </c>
      <c r="I6" s="20">
        <v>8.0</v>
      </c>
      <c r="J6" s="20">
        <f>vlookup(I6,Superbowls!$A$2:$B$115,2,FALSE)</f>
        <v>2017</v>
      </c>
      <c r="K6" s="20" t="s">
        <v>36</v>
      </c>
    </row>
    <row r="7">
      <c r="A7" s="20" t="s">
        <v>372</v>
      </c>
      <c r="B7" s="20" t="s">
        <v>386</v>
      </c>
      <c r="C7" s="20" t="s">
        <v>387</v>
      </c>
      <c r="D7" s="20">
        <v>9.0</v>
      </c>
      <c r="E7" s="20">
        <v>549.0</v>
      </c>
      <c r="F7" s="20">
        <v>61.0</v>
      </c>
      <c r="G7" s="20" t="s">
        <v>107</v>
      </c>
      <c r="H7" s="20" t="s">
        <v>63</v>
      </c>
      <c r="I7" s="20">
        <v>8.0</v>
      </c>
      <c r="J7" s="20">
        <f>vlookup(I7,Superbowls!$A$2:$B$115,2,FALSE)</f>
        <v>2017</v>
      </c>
      <c r="K7" s="20" t="s">
        <v>36</v>
      </c>
    </row>
    <row r="8">
      <c r="A8" s="20" t="s">
        <v>372</v>
      </c>
      <c r="B8" s="20" t="s">
        <v>391</v>
      </c>
      <c r="C8" s="20" t="s">
        <v>33</v>
      </c>
      <c r="D8" s="20">
        <v>5.0</v>
      </c>
      <c r="E8" s="20">
        <v>293.0</v>
      </c>
      <c r="F8" s="20">
        <v>58.6</v>
      </c>
      <c r="G8" s="20" t="s">
        <v>79</v>
      </c>
      <c r="H8" s="20" t="s">
        <v>71</v>
      </c>
      <c r="I8" s="20">
        <v>8.0</v>
      </c>
      <c r="J8" s="20">
        <f>vlookup(I8,Superbowls!$A$2:$B$115,2,FALSE)</f>
        <v>2017</v>
      </c>
      <c r="K8" s="20" t="s">
        <v>36</v>
      </c>
    </row>
    <row r="9">
      <c r="A9" s="20" t="s">
        <v>372</v>
      </c>
      <c r="B9" s="20" t="s">
        <v>393</v>
      </c>
      <c r="C9" s="20" t="s">
        <v>394</v>
      </c>
      <c r="D9" s="20">
        <v>16.0</v>
      </c>
      <c r="E9" s="20">
        <v>880.0</v>
      </c>
      <c r="F9" s="20">
        <v>55.0</v>
      </c>
      <c r="G9" s="20" t="s">
        <v>78</v>
      </c>
      <c r="H9" s="20" t="s">
        <v>42</v>
      </c>
      <c r="I9" s="20">
        <v>8.0</v>
      </c>
      <c r="J9" s="20">
        <f>vlookup(I9,Superbowls!$A$2:$B$115,2,FALSE)</f>
        <v>2017</v>
      </c>
      <c r="K9" s="20" t="s">
        <v>36</v>
      </c>
    </row>
    <row r="10">
      <c r="A10" s="20" t="s">
        <v>372</v>
      </c>
      <c r="B10" s="20" t="s">
        <v>397</v>
      </c>
      <c r="C10" s="20" t="s">
        <v>167</v>
      </c>
      <c r="D10" s="20">
        <v>10.0</v>
      </c>
      <c r="E10" s="20">
        <v>671.0</v>
      </c>
      <c r="F10" s="20">
        <v>67.0</v>
      </c>
      <c r="G10" s="20" t="s">
        <v>90</v>
      </c>
      <c r="H10" s="20" t="s">
        <v>30</v>
      </c>
      <c r="I10" s="27">
        <v>9.0</v>
      </c>
      <c r="J10" s="20">
        <f>vlookup(I10,Superbowls!$A$2:$B$115,2,FALSE)</f>
        <v>2017</v>
      </c>
      <c r="K10" s="20" t="s">
        <v>36</v>
      </c>
    </row>
    <row r="11">
      <c r="A11" s="20" t="s">
        <v>372</v>
      </c>
      <c r="B11" s="20" t="s">
        <v>400</v>
      </c>
      <c r="C11" s="20" t="s">
        <v>401</v>
      </c>
      <c r="D11" s="20">
        <v>10.0</v>
      </c>
      <c r="E11" s="20">
        <v>651.0</v>
      </c>
      <c r="F11" s="20">
        <v>65.0</v>
      </c>
      <c r="G11" s="20" t="s">
        <v>145</v>
      </c>
      <c r="H11" s="20" t="s">
        <v>63</v>
      </c>
      <c r="I11" s="27">
        <v>9.0</v>
      </c>
      <c r="J11" s="20">
        <f>vlookup(I11,Superbowls!$A$2:$B$115,2,FALSE)</f>
        <v>2017</v>
      </c>
      <c r="K11" s="20" t="s">
        <v>36</v>
      </c>
    </row>
    <row r="12">
      <c r="A12" s="20" t="s">
        <v>372</v>
      </c>
      <c r="B12" s="20" t="s">
        <v>402</v>
      </c>
      <c r="C12" s="20" t="s">
        <v>403</v>
      </c>
      <c r="D12" s="20">
        <v>6.0</v>
      </c>
      <c r="E12" s="20">
        <v>384.0</v>
      </c>
      <c r="F12" s="20">
        <v>64.0</v>
      </c>
      <c r="G12" s="20" t="s">
        <v>93</v>
      </c>
      <c r="H12" s="20" t="s">
        <v>42</v>
      </c>
      <c r="I12" s="27">
        <v>9.0</v>
      </c>
      <c r="J12" s="20">
        <f>vlookup(I12,Superbowls!$A$2:$B$115,2,FALSE)</f>
        <v>2017</v>
      </c>
      <c r="K12" s="20" t="s">
        <v>36</v>
      </c>
    </row>
    <row r="13">
      <c r="A13" s="20" t="s">
        <v>372</v>
      </c>
      <c r="B13" s="20" t="s">
        <v>405</v>
      </c>
      <c r="C13" s="20" t="s">
        <v>155</v>
      </c>
      <c r="D13" s="20">
        <v>4.0</v>
      </c>
      <c r="E13" s="20">
        <v>253.0</v>
      </c>
      <c r="F13" s="20">
        <v>63.2</v>
      </c>
      <c r="G13" s="20" t="s">
        <v>101</v>
      </c>
      <c r="H13" s="20" t="s">
        <v>71</v>
      </c>
      <c r="I13" s="27">
        <v>9.0</v>
      </c>
      <c r="J13" s="20">
        <f>vlookup(I13,Superbowls!$A$2:$B$115,2,FALSE)</f>
        <v>2017</v>
      </c>
      <c r="K13" s="20" t="s">
        <v>36</v>
      </c>
    </row>
    <row r="14">
      <c r="A14" s="20" t="s">
        <v>372</v>
      </c>
      <c r="B14" s="20" t="s">
        <v>406</v>
      </c>
      <c r="C14" s="20" t="s">
        <v>407</v>
      </c>
      <c r="D14" s="20">
        <v>4.0</v>
      </c>
      <c r="E14" s="20">
        <v>308.0</v>
      </c>
      <c r="F14" s="20">
        <v>77.0</v>
      </c>
      <c r="G14" s="20" t="s">
        <v>89</v>
      </c>
      <c r="H14" s="20" t="s">
        <v>71</v>
      </c>
      <c r="I14" s="27">
        <v>10.0</v>
      </c>
      <c r="J14" s="20">
        <f>vlookup(I14,Superbowls!$A$2:$B$115,2,FALSE)</f>
        <v>2018</v>
      </c>
      <c r="K14" s="20" t="s">
        <v>36</v>
      </c>
    </row>
    <row r="15">
      <c r="A15" s="20" t="s">
        <v>372</v>
      </c>
      <c r="B15" s="20" t="s">
        <v>413</v>
      </c>
      <c r="C15" s="20" t="s">
        <v>318</v>
      </c>
      <c r="D15" s="20">
        <v>3.0</v>
      </c>
      <c r="E15" s="20">
        <v>195.0</v>
      </c>
      <c r="F15" s="20">
        <v>65.0</v>
      </c>
      <c r="G15" s="20" t="s">
        <v>54</v>
      </c>
      <c r="H15" s="20" t="s">
        <v>42</v>
      </c>
      <c r="I15" s="27">
        <v>10.0</v>
      </c>
      <c r="J15" s="20">
        <f>vlookup(I15,Superbowls!$A$2:$B$115,2,FALSE)</f>
        <v>2018</v>
      </c>
      <c r="K15" s="20" t="s">
        <v>36</v>
      </c>
    </row>
    <row r="16">
      <c r="A16" s="20" t="s">
        <v>372</v>
      </c>
      <c r="B16" s="20" t="s">
        <v>415</v>
      </c>
      <c r="C16" s="20" t="s">
        <v>138</v>
      </c>
      <c r="D16" s="20">
        <v>4.0</v>
      </c>
      <c r="E16" s="20">
        <v>230.0</v>
      </c>
      <c r="F16" s="20">
        <v>57.5</v>
      </c>
      <c r="G16" s="20" t="s">
        <v>62</v>
      </c>
      <c r="H16" s="20" t="s">
        <v>30</v>
      </c>
      <c r="I16" s="27">
        <v>10.0</v>
      </c>
      <c r="J16" s="20">
        <f>vlookup(I16,Superbowls!$A$2:$B$115,2,FALSE)</f>
        <v>2018</v>
      </c>
      <c r="K16" s="20" t="s">
        <v>36</v>
      </c>
    </row>
    <row r="17">
      <c r="A17" s="20" t="s">
        <v>372</v>
      </c>
      <c r="B17" s="20" t="s">
        <v>418</v>
      </c>
      <c r="C17" s="20" t="s">
        <v>138</v>
      </c>
      <c r="D17" s="20">
        <v>4.0</v>
      </c>
      <c r="E17" s="20">
        <v>212.0</v>
      </c>
      <c r="F17" s="20">
        <v>53.0</v>
      </c>
      <c r="G17" s="20" t="s">
        <v>34</v>
      </c>
      <c r="H17" s="20" t="s">
        <v>35</v>
      </c>
      <c r="I17" s="27">
        <v>10.0</v>
      </c>
      <c r="J17" s="20">
        <f>vlookup(I17,Superbowls!$A$2:$B$115,2,FALSE)</f>
        <v>2018</v>
      </c>
      <c r="K17" s="20" t="s">
        <v>36</v>
      </c>
    </row>
    <row r="18">
      <c r="A18" s="20" t="s">
        <v>372</v>
      </c>
      <c r="B18" s="20" t="s">
        <v>386</v>
      </c>
      <c r="C18" s="20" t="s">
        <v>387</v>
      </c>
      <c r="D18" s="20">
        <v>7.0</v>
      </c>
      <c r="E18" s="20">
        <v>468.0</v>
      </c>
      <c r="F18" s="20">
        <v>66.8</v>
      </c>
      <c r="G18" s="20" t="s">
        <v>107</v>
      </c>
      <c r="H18" s="20" t="s">
        <v>35</v>
      </c>
      <c r="I18" s="27">
        <v>11.0</v>
      </c>
      <c r="J18" s="20">
        <f>vlookup(I18,Superbowls!$A$2:$B$115,2,FALSE)</f>
        <v>2019</v>
      </c>
      <c r="K18" s="20" t="s">
        <v>36</v>
      </c>
    </row>
    <row r="19">
      <c r="A19" s="20" t="s">
        <v>372</v>
      </c>
      <c r="B19" s="20" t="s">
        <v>425</v>
      </c>
      <c r="C19" s="20" t="s">
        <v>382</v>
      </c>
      <c r="D19" s="20">
        <v>3.0</v>
      </c>
      <c r="E19" s="20">
        <v>199.0</v>
      </c>
      <c r="F19" s="20">
        <v>66.3</v>
      </c>
      <c r="G19" s="20" t="s">
        <v>57</v>
      </c>
      <c r="H19" s="20" t="s">
        <v>71</v>
      </c>
      <c r="I19" s="27">
        <v>11.0</v>
      </c>
      <c r="J19" s="20">
        <f>vlookup(I19,Superbowls!$A$2:$B$115,2,FALSE)</f>
        <v>2019</v>
      </c>
      <c r="K19" s="20" t="s">
        <v>36</v>
      </c>
    </row>
    <row r="20">
      <c r="A20" s="20" t="s">
        <v>372</v>
      </c>
      <c r="B20" s="20" t="s">
        <v>427</v>
      </c>
      <c r="C20" s="20" t="s">
        <v>128</v>
      </c>
      <c r="D20" s="20">
        <v>5.0</v>
      </c>
      <c r="E20" s="20">
        <v>273.0</v>
      </c>
      <c r="F20" s="20">
        <v>54.6</v>
      </c>
      <c r="G20" s="20" t="s">
        <v>29</v>
      </c>
      <c r="H20" s="20" t="s">
        <v>42</v>
      </c>
      <c r="I20" s="27">
        <v>11.0</v>
      </c>
      <c r="J20" s="20">
        <f>vlookup(I20,Superbowls!$A$2:$B$115,2,FALSE)</f>
        <v>2019</v>
      </c>
      <c r="K20" s="20" t="s">
        <v>36</v>
      </c>
    </row>
    <row r="21">
      <c r="A21" s="20" t="s">
        <v>372</v>
      </c>
      <c r="B21" s="20" t="s">
        <v>178</v>
      </c>
      <c r="C21" s="20" t="s">
        <v>429</v>
      </c>
      <c r="D21" s="20">
        <v>4.0</v>
      </c>
      <c r="E21" s="20">
        <v>218.0</v>
      </c>
      <c r="F21" s="20">
        <v>54.5</v>
      </c>
      <c r="G21" s="20" t="s">
        <v>112</v>
      </c>
      <c r="H21" s="20" t="s">
        <v>30</v>
      </c>
      <c r="I21" s="27">
        <v>11.0</v>
      </c>
      <c r="J21" s="20">
        <f>vlookup(I21,Superbowls!$A$2:$B$115,2,FALSE)</f>
        <v>2019</v>
      </c>
      <c r="K21" s="20" t="s">
        <v>36</v>
      </c>
    </row>
    <row r="22">
      <c r="A22" s="20" t="s">
        <v>372</v>
      </c>
      <c r="B22" s="20" t="s">
        <v>430</v>
      </c>
      <c r="C22" s="20" t="s">
        <v>332</v>
      </c>
      <c r="D22" s="20">
        <v>5.0</v>
      </c>
      <c r="E22" s="20">
        <v>371.0</v>
      </c>
      <c r="F22" s="20">
        <v>74.2</v>
      </c>
      <c r="G22" s="20" t="s">
        <v>121</v>
      </c>
      <c r="H22" s="20" t="s">
        <v>63</v>
      </c>
      <c r="I22" s="20">
        <v>12.0</v>
      </c>
      <c r="J22" s="20">
        <f>vlookup(I22,Superbowls!$A$2:$B$115,2,FALSE)</f>
        <v>2020</v>
      </c>
      <c r="K22" s="20" t="s">
        <v>36</v>
      </c>
    </row>
    <row r="23">
      <c r="A23" s="20" t="s">
        <v>372</v>
      </c>
      <c r="B23" s="20" t="s">
        <v>433</v>
      </c>
      <c r="C23" s="20" t="s">
        <v>332</v>
      </c>
      <c r="D23" s="20">
        <v>5.0</v>
      </c>
      <c r="E23" s="20">
        <v>344.0</v>
      </c>
      <c r="F23" s="20">
        <v>68.8</v>
      </c>
      <c r="G23" s="20" t="s">
        <v>41</v>
      </c>
      <c r="H23" s="20" t="s">
        <v>71</v>
      </c>
      <c r="I23" s="20">
        <v>12.0</v>
      </c>
      <c r="J23" s="20">
        <f>vlookup(I23,Superbowls!$A$2:$B$115,2,FALSE)</f>
        <v>2020</v>
      </c>
      <c r="K23" s="20" t="s">
        <v>36</v>
      </c>
    </row>
    <row r="24">
      <c r="A24" s="20" t="s">
        <v>372</v>
      </c>
      <c r="B24" s="20" t="s">
        <v>438</v>
      </c>
      <c r="C24" s="20" t="s">
        <v>25</v>
      </c>
      <c r="D24" s="20">
        <v>22.0</v>
      </c>
      <c r="E24" s="20">
        <v>1186.0</v>
      </c>
      <c r="F24" s="20">
        <v>53.9</v>
      </c>
      <c r="G24" s="20" t="s">
        <v>161</v>
      </c>
      <c r="H24" s="20" t="s">
        <v>42</v>
      </c>
      <c r="I24" s="20">
        <v>12.0</v>
      </c>
      <c r="J24" s="20">
        <f>vlookup(I24,Superbowls!$A$2:$B$115,2,FALSE)</f>
        <v>2020</v>
      </c>
      <c r="K24" s="20" t="s">
        <v>36</v>
      </c>
    </row>
    <row r="25">
      <c r="A25" s="20" t="s">
        <v>372</v>
      </c>
      <c r="B25" s="20" t="s">
        <v>418</v>
      </c>
      <c r="C25" s="20" t="s">
        <v>138</v>
      </c>
      <c r="D25" s="20">
        <v>3.0</v>
      </c>
      <c r="E25" s="20">
        <v>178.0</v>
      </c>
      <c r="F25" s="20">
        <v>59.3</v>
      </c>
      <c r="G25" s="20" t="s">
        <v>34</v>
      </c>
      <c r="H25" s="20" t="s">
        <v>30</v>
      </c>
      <c r="I25" s="20">
        <v>13.0</v>
      </c>
      <c r="J25" s="20">
        <f>vlookup(I25,Superbowls!$A$2:$B$115,2,FALSE)</f>
        <v>2021</v>
      </c>
      <c r="K25" s="20" t="s">
        <v>36</v>
      </c>
    </row>
    <row r="26">
      <c r="A26" s="20" t="s">
        <v>372</v>
      </c>
      <c r="B26" s="20" t="s">
        <v>415</v>
      </c>
      <c r="C26" s="20" t="s">
        <v>138</v>
      </c>
      <c r="D26" s="20">
        <v>6.0</v>
      </c>
      <c r="E26" s="20">
        <v>359.0</v>
      </c>
      <c r="F26" s="20">
        <v>59.8</v>
      </c>
      <c r="G26" s="20" t="s">
        <v>62</v>
      </c>
      <c r="H26" s="20" t="s">
        <v>42</v>
      </c>
      <c r="I26" s="20">
        <v>13.0</v>
      </c>
      <c r="J26" s="20">
        <f>vlookup(I26,Superbowls!$A$2:$B$115,2,FALSE)</f>
        <v>2021</v>
      </c>
      <c r="K26" s="20" t="s">
        <v>36</v>
      </c>
    </row>
    <row r="27">
      <c r="A27" s="20" t="s">
        <v>372</v>
      </c>
      <c r="B27" s="20" t="s">
        <v>386</v>
      </c>
      <c r="C27" s="20" t="s">
        <v>387</v>
      </c>
      <c r="D27" s="20">
        <v>9.0</v>
      </c>
      <c r="E27" s="20">
        <v>605.0</v>
      </c>
      <c r="F27" s="20">
        <v>67.2</v>
      </c>
      <c r="G27" s="20" t="s">
        <v>107</v>
      </c>
      <c r="H27" s="20" t="s">
        <v>30</v>
      </c>
      <c r="I27" s="20">
        <v>14.0</v>
      </c>
      <c r="J27" s="20">
        <f>vlookup(I27,Superbowls!$A$2:$B$115,2,FALSE)</f>
        <v>2022</v>
      </c>
      <c r="K27" s="20" t="s">
        <v>36</v>
      </c>
    </row>
    <row r="28">
      <c r="A28" s="20" t="s">
        <v>372</v>
      </c>
      <c r="B28" s="20" t="s">
        <v>375</v>
      </c>
      <c r="C28" s="20" t="s">
        <v>358</v>
      </c>
      <c r="D28" s="20">
        <v>16.0</v>
      </c>
      <c r="E28" s="20">
        <v>1022.0</v>
      </c>
      <c r="F28" s="20">
        <v>63.8</v>
      </c>
      <c r="G28" s="20" t="s">
        <v>114</v>
      </c>
      <c r="H28" s="20" t="s">
        <v>42</v>
      </c>
      <c r="I28" s="20">
        <v>14.0</v>
      </c>
      <c r="J28" s="20">
        <f>vlookup(I28,Superbowls!$A$2:$B$115,2,FALSE)</f>
        <v>2022</v>
      </c>
      <c r="K28" s="20" t="s">
        <v>36</v>
      </c>
    </row>
    <row r="29">
      <c r="A29" s="20" t="s">
        <v>372</v>
      </c>
      <c r="B29" s="20" t="s">
        <v>379</v>
      </c>
      <c r="C29" s="20" t="s">
        <v>343</v>
      </c>
      <c r="D29" s="20">
        <v>7.0</v>
      </c>
      <c r="E29" s="20">
        <v>442.0</v>
      </c>
      <c r="F29" s="20">
        <v>63.1</v>
      </c>
      <c r="G29" s="20" t="s">
        <v>131</v>
      </c>
      <c r="H29" s="20" t="s">
        <v>35</v>
      </c>
      <c r="I29" s="20">
        <v>14.0</v>
      </c>
      <c r="J29" s="20">
        <f>vlookup(I29,Superbowls!$A$2:$B$115,2,FALSE)</f>
        <v>2022</v>
      </c>
      <c r="K29" s="20" t="s">
        <v>36</v>
      </c>
    </row>
    <row r="30">
      <c r="A30" s="20" t="s">
        <v>372</v>
      </c>
      <c r="B30" s="20" t="s">
        <v>430</v>
      </c>
      <c r="C30" s="20" t="s">
        <v>332</v>
      </c>
      <c r="D30" s="20">
        <v>4.0</v>
      </c>
      <c r="E30" s="20">
        <v>252.0</v>
      </c>
      <c r="F30" s="20">
        <v>63.0</v>
      </c>
      <c r="G30" s="20" t="s">
        <v>121</v>
      </c>
      <c r="H30" s="20" t="s">
        <v>63</v>
      </c>
      <c r="I30" s="20">
        <v>14.0</v>
      </c>
      <c r="J30" s="20">
        <f>vlookup(I30,Superbowls!$A$2:$B$115,2,FALSE)</f>
        <v>2022</v>
      </c>
      <c r="K30" s="20" t="s">
        <v>36</v>
      </c>
    </row>
    <row r="31">
      <c r="A31" s="20" t="s">
        <v>372</v>
      </c>
      <c r="B31" s="20" t="s">
        <v>425</v>
      </c>
      <c r="C31" s="20" t="s">
        <v>382</v>
      </c>
      <c r="D31" s="20">
        <v>9.0</v>
      </c>
      <c r="E31" s="20">
        <v>527.0</v>
      </c>
      <c r="F31" s="20">
        <v>58.5</v>
      </c>
      <c r="G31" s="20" t="s">
        <v>57</v>
      </c>
      <c r="H31" s="20" t="s">
        <v>71</v>
      </c>
      <c r="I31" s="20">
        <v>14.0</v>
      </c>
      <c r="J31" s="20">
        <f>vlookup(I31,Superbowls!$A$2:$B$115,2,FALSE)</f>
        <v>2022</v>
      </c>
      <c r="K31" s="20" t="s">
        <v>36</v>
      </c>
    </row>
    <row r="32">
      <c r="A32" s="20" t="s">
        <v>372</v>
      </c>
      <c r="B32" s="20" t="s">
        <v>360</v>
      </c>
      <c r="C32" s="20" t="s">
        <v>456</v>
      </c>
      <c r="D32" s="20">
        <v>7.0</v>
      </c>
      <c r="E32" s="20">
        <v>402.0</v>
      </c>
      <c r="F32" s="20">
        <v>57.4</v>
      </c>
      <c r="G32" s="20" t="s">
        <v>70</v>
      </c>
      <c r="H32" s="20" t="s">
        <v>71</v>
      </c>
      <c r="I32" s="20">
        <v>15.0</v>
      </c>
      <c r="J32" s="20">
        <f>vlookup(I32,Superbowls!$A$2:$B$115,2,FALSE)</f>
        <v>2023</v>
      </c>
      <c r="K32" s="20" t="s">
        <v>36</v>
      </c>
    </row>
    <row r="33">
      <c r="A33" s="20" t="s">
        <v>372</v>
      </c>
      <c r="B33" s="20" t="s">
        <v>458</v>
      </c>
      <c r="C33" s="20" t="s">
        <v>59</v>
      </c>
      <c r="D33" s="20">
        <v>6.0</v>
      </c>
      <c r="E33" s="20">
        <v>351.0</v>
      </c>
      <c r="F33" s="20">
        <v>58.5</v>
      </c>
      <c r="G33" s="20" t="s">
        <v>47</v>
      </c>
      <c r="H33" s="20" t="s">
        <v>42</v>
      </c>
      <c r="I33" s="20">
        <v>15.0</v>
      </c>
      <c r="J33" s="20">
        <f>vlookup(I33,Superbowls!$A$2:$B$115,2,FALSE)</f>
        <v>2023</v>
      </c>
      <c r="K33" s="20" t="s">
        <v>36</v>
      </c>
    </row>
    <row r="34">
      <c r="A34" s="20" t="s">
        <v>372</v>
      </c>
      <c r="B34" s="20" t="s">
        <v>178</v>
      </c>
      <c r="C34" s="20" t="s">
        <v>429</v>
      </c>
      <c r="D34" s="20">
        <v>4.0</v>
      </c>
      <c r="E34" s="20">
        <v>255.0</v>
      </c>
      <c r="F34" s="20">
        <v>63.7</v>
      </c>
      <c r="G34" s="20" t="s">
        <v>112</v>
      </c>
      <c r="H34" s="20" t="s">
        <v>35</v>
      </c>
      <c r="I34" s="20">
        <v>15.0</v>
      </c>
      <c r="J34" s="20">
        <f>vlookup(I34,Superbowls!$A$2:$B$115,2,FALSE)</f>
        <v>2023</v>
      </c>
      <c r="K34" s="20" t="s">
        <v>36</v>
      </c>
    </row>
    <row r="35">
      <c r="A35" s="20" t="s">
        <v>372</v>
      </c>
      <c r="B35" s="20" t="s">
        <v>438</v>
      </c>
      <c r="C35" s="20" t="s">
        <v>25</v>
      </c>
      <c r="D35" s="20">
        <v>12.0</v>
      </c>
      <c r="E35" s="20">
        <v>732.0</v>
      </c>
      <c r="F35" s="20">
        <v>61.0</v>
      </c>
      <c r="G35" s="20" t="s">
        <v>161</v>
      </c>
      <c r="H35" s="20" t="s">
        <v>30</v>
      </c>
      <c r="I35" s="20">
        <v>15.0</v>
      </c>
      <c r="J35" s="20">
        <f>vlookup(I35,Superbowls!$A$2:$B$115,2,FALSE)</f>
        <v>2023</v>
      </c>
      <c r="K35" s="20" t="s">
        <v>36</v>
      </c>
    </row>
    <row r="36">
      <c r="A36" s="20" t="s">
        <v>372</v>
      </c>
      <c r="B36" s="20" t="s">
        <v>463</v>
      </c>
      <c r="C36" s="20" t="s">
        <v>464</v>
      </c>
      <c r="D36" s="20">
        <v>5.0</v>
      </c>
      <c r="E36" s="20">
        <v>255.0</v>
      </c>
      <c r="F36" s="20">
        <v>51.0</v>
      </c>
      <c r="G36" s="20" t="s">
        <v>81</v>
      </c>
      <c r="H36" s="20" t="s">
        <v>30</v>
      </c>
      <c r="I36" s="20">
        <v>16.0</v>
      </c>
      <c r="J36" s="20">
        <v>2024.0</v>
      </c>
      <c r="K36" s="20" t="s">
        <v>36</v>
      </c>
    </row>
    <row r="37">
      <c r="A37" s="20" t="s">
        <v>372</v>
      </c>
      <c r="B37" s="20" t="s">
        <v>465</v>
      </c>
      <c r="C37" s="20" t="s">
        <v>183</v>
      </c>
      <c r="D37" s="20">
        <v>15.0</v>
      </c>
      <c r="E37" s="20">
        <v>923.0</v>
      </c>
      <c r="F37" s="20">
        <v>61.5</v>
      </c>
      <c r="G37" s="20" t="s">
        <v>102</v>
      </c>
      <c r="H37" s="20" t="s">
        <v>63</v>
      </c>
      <c r="I37" s="20">
        <v>16.0</v>
      </c>
      <c r="J37" s="20">
        <v>2024.0</v>
      </c>
      <c r="K37" s="20" t="s">
        <v>36</v>
      </c>
    </row>
    <row r="38">
      <c r="A38" s="20" t="s">
        <v>372</v>
      </c>
      <c r="B38" s="20" t="s">
        <v>466</v>
      </c>
      <c r="C38" s="20" t="s">
        <v>155</v>
      </c>
      <c r="D38" s="20">
        <v>8.0</v>
      </c>
      <c r="E38" s="20">
        <v>584.0</v>
      </c>
      <c r="F38" s="20">
        <v>73.0</v>
      </c>
      <c r="G38" s="20" t="s">
        <v>101</v>
      </c>
      <c r="H38" s="20" t="s">
        <v>35</v>
      </c>
      <c r="I38" s="20">
        <v>16.0</v>
      </c>
      <c r="J38" s="20">
        <v>2024.0</v>
      </c>
      <c r="K38" s="20" t="s">
        <v>36</v>
      </c>
    </row>
    <row r="39">
      <c r="A39" s="20" t="s">
        <v>372</v>
      </c>
      <c r="B39" s="20" t="s">
        <v>406</v>
      </c>
      <c r="C39" s="20" t="s">
        <v>407</v>
      </c>
      <c r="D39" s="20">
        <v>5.0</v>
      </c>
      <c r="E39" s="20">
        <v>317.0</v>
      </c>
      <c r="F39" s="20">
        <v>63.4</v>
      </c>
      <c r="G39" s="20" t="s">
        <v>89</v>
      </c>
      <c r="H39" s="20" t="s">
        <v>175</v>
      </c>
      <c r="I39" s="20">
        <v>16.0</v>
      </c>
      <c r="J39" s="20">
        <v>2024.0</v>
      </c>
      <c r="K39" s="20" t="s">
        <v>36</v>
      </c>
    </row>
    <row r="40">
      <c r="A40" s="20" t="s">
        <v>372</v>
      </c>
      <c r="B40" s="20" t="s">
        <v>467</v>
      </c>
      <c r="C40" s="20" t="s">
        <v>401</v>
      </c>
      <c r="D40" s="20">
        <v>12.0</v>
      </c>
      <c r="E40" s="20">
        <v>710.0</v>
      </c>
      <c r="F40" s="20">
        <v>59.1</v>
      </c>
      <c r="G40" s="20" t="s">
        <v>145</v>
      </c>
      <c r="H40" s="20" t="s">
        <v>42</v>
      </c>
      <c r="I40" s="20">
        <v>16.0</v>
      </c>
      <c r="J40" s="20">
        <v>2024.0</v>
      </c>
      <c r="K40" s="20" t="s">
        <v>36</v>
      </c>
    </row>
    <row r="41">
      <c r="A41" s="20" t="s">
        <v>372</v>
      </c>
      <c r="B41" s="20" t="s">
        <v>427</v>
      </c>
      <c r="C41" s="20" t="s">
        <v>128</v>
      </c>
      <c r="D41" s="20">
        <v>3.0</v>
      </c>
      <c r="E41" s="20">
        <v>228.0</v>
      </c>
      <c r="F41" s="20">
        <v>76.0</v>
      </c>
      <c r="G41" s="20" t="s">
        <v>29</v>
      </c>
      <c r="H41" s="20" t="s">
        <v>35</v>
      </c>
      <c r="I41" s="20">
        <v>17.0</v>
      </c>
      <c r="J41" s="20">
        <v>2025.0</v>
      </c>
      <c r="K41" s="20" t="s">
        <v>36</v>
      </c>
    </row>
    <row r="42">
      <c r="A42" s="20" t="s">
        <v>372</v>
      </c>
      <c r="B42" s="20" t="s">
        <v>463</v>
      </c>
      <c r="C42" s="20" t="s">
        <v>464</v>
      </c>
      <c r="D42" s="20">
        <v>14.0</v>
      </c>
      <c r="E42" s="20">
        <v>713.0</v>
      </c>
      <c r="F42" s="20">
        <v>50.9</v>
      </c>
      <c r="G42" s="20" t="s">
        <v>81</v>
      </c>
      <c r="H42" s="20" t="s">
        <v>187</v>
      </c>
      <c r="I42" s="20">
        <v>17.0</v>
      </c>
      <c r="J42" s="20">
        <v>2025.0</v>
      </c>
      <c r="K42" s="20" t="s">
        <v>36</v>
      </c>
    </row>
    <row r="43">
      <c r="A43" s="20" t="s">
        <v>372</v>
      </c>
      <c r="B43" s="20" t="s">
        <v>463</v>
      </c>
      <c r="C43" s="20" t="s">
        <v>464</v>
      </c>
      <c r="D43" s="20">
        <v>9.0</v>
      </c>
      <c r="E43" s="20">
        <v>458.0</v>
      </c>
      <c r="F43" s="20">
        <v>50.8</v>
      </c>
      <c r="G43" s="20" t="s">
        <v>81</v>
      </c>
      <c r="H43" s="20" t="s">
        <v>187</v>
      </c>
      <c r="I43" s="20">
        <v>18.0</v>
      </c>
      <c r="J43" s="20">
        <v>2025.0</v>
      </c>
      <c r="K43" s="20" t="s">
        <v>36</v>
      </c>
    </row>
    <row r="44">
      <c r="A44" s="20" t="s">
        <v>372</v>
      </c>
      <c r="B44" s="20" t="s">
        <v>471</v>
      </c>
      <c r="C44" s="20" t="s">
        <v>110</v>
      </c>
      <c r="D44" s="20">
        <v>2.0</v>
      </c>
      <c r="E44" s="20">
        <v>95.0</v>
      </c>
      <c r="F44" s="20">
        <v>46.5</v>
      </c>
      <c r="G44" s="20" t="s">
        <v>60</v>
      </c>
      <c r="H44" s="20" t="s">
        <v>35</v>
      </c>
      <c r="I44" s="20">
        <v>18.0</v>
      </c>
      <c r="J44" s="20">
        <v>2025.0</v>
      </c>
      <c r="K44" s="20" t="s">
        <v>36</v>
      </c>
    </row>
    <row r="45">
      <c r="A45" s="20" t="s">
        <v>372</v>
      </c>
      <c r="B45" s="20" t="s">
        <v>463</v>
      </c>
      <c r="C45" s="20" t="s">
        <v>464</v>
      </c>
      <c r="D45" s="20">
        <v>4.0</v>
      </c>
      <c r="E45" s="20">
        <v>256.0</v>
      </c>
      <c r="F45" s="20">
        <v>64.0</v>
      </c>
      <c r="G45" s="20" t="s">
        <v>81</v>
      </c>
      <c r="H45" s="20" t="s">
        <v>187</v>
      </c>
      <c r="I45" s="20">
        <v>19.0</v>
      </c>
      <c r="J45" s="20">
        <v>2025.0</v>
      </c>
      <c r="K45" s="20" t="s">
        <v>36</v>
      </c>
    </row>
    <row r="46">
      <c r="A46" s="20" t="s">
        <v>372</v>
      </c>
      <c r="B46" s="20" t="s">
        <v>458</v>
      </c>
      <c r="C46" s="20" t="s">
        <v>59</v>
      </c>
      <c r="D46" s="20">
        <v>2.0</v>
      </c>
      <c r="E46" s="20">
        <v>121.0</v>
      </c>
      <c r="F46" s="20">
        <v>60.5</v>
      </c>
      <c r="G46" s="20" t="s">
        <v>47</v>
      </c>
      <c r="H46" s="20" t="s">
        <v>35</v>
      </c>
      <c r="I46" s="20">
        <v>19.0</v>
      </c>
      <c r="J46" s="20">
        <v>2025.0</v>
      </c>
      <c r="K46" s="20" t="s">
        <v>36</v>
      </c>
    </row>
    <row r="47">
      <c r="A47" s="20" t="s">
        <v>372</v>
      </c>
      <c r="B47" s="20" t="s">
        <v>386</v>
      </c>
      <c r="C47" s="20" t="s">
        <v>387</v>
      </c>
      <c r="D47" s="20">
        <v>4.0</v>
      </c>
      <c r="E47" s="20">
        <v>240.0</v>
      </c>
      <c r="F47" s="20">
        <v>60.0</v>
      </c>
      <c r="G47" s="20" t="s">
        <v>107</v>
      </c>
      <c r="H47" s="20" t="s">
        <v>205</v>
      </c>
      <c r="I47" s="20">
        <v>20.0</v>
      </c>
      <c r="J47" s="20">
        <v>2025.0</v>
      </c>
      <c r="K47" s="20" t="s">
        <v>36</v>
      </c>
    </row>
    <row r="48">
      <c r="A48" s="20" t="s">
        <v>372</v>
      </c>
      <c r="B48" s="20" t="s">
        <v>458</v>
      </c>
      <c r="C48" s="20" t="s">
        <v>59</v>
      </c>
      <c r="D48" s="20">
        <v>1.0</v>
      </c>
      <c r="E48" s="20">
        <v>63.0</v>
      </c>
      <c r="F48" s="20">
        <v>63.0</v>
      </c>
      <c r="G48" s="20" t="s">
        <v>47</v>
      </c>
      <c r="H48" s="20" t="s">
        <v>30</v>
      </c>
      <c r="I48" s="20">
        <v>20.0</v>
      </c>
      <c r="J48" s="20">
        <v>2025.0</v>
      </c>
      <c r="K48" s="20" t="s">
        <v>36</v>
      </c>
    </row>
    <row r="49">
      <c r="A49" s="20" t="s">
        <v>372</v>
      </c>
      <c r="B49" s="20" t="s">
        <v>415</v>
      </c>
      <c r="C49" s="20" t="s">
        <v>138</v>
      </c>
      <c r="D49" s="20">
        <v>1.0</v>
      </c>
      <c r="E49" s="20">
        <v>71.0</v>
      </c>
      <c r="F49" s="20">
        <v>71.0</v>
      </c>
      <c r="G49" s="20" t="s">
        <v>62</v>
      </c>
      <c r="H49" s="20" t="s">
        <v>205</v>
      </c>
      <c r="I49" s="20">
        <v>21.0</v>
      </c>
      <c r="J49" s="20">
        <v>2026.0</v>
      </c>
      <c r="K49" s="20" t="s">
        <v>36</v>
      </c>
    </row>
    <row r="50">
      <c r="A50" s="20" t="s">
        <v>372</v>
      </c>
      <c r="B50" s="20" t="s">
        <v>430</v>
      </c>
      <c r="C50" s="20" t="s">
        <v>332</v>
      </c>
      <c r="D50" s="20">
        <v>1.0</v>
      </c>
      <c r="E50" s="20">
        <v>67.0</v>
      </c>
      <c r="F50" s="20">
        <v>67.0</v>
      </c>
      <c r="G50" s="20" t="s">
        <v>121</v>
      </c>
      <c r="H50" s="20" t="s">
        <v>30</v>
      </c>
      <c r="I50" s="20">
        <v>21.0</v>
      </c>
      <c r="J50" s="20">
        <v>2026.0</v>
      </c>
      <c r="K50" s="20" t="s">
        <v>36</v>
      </c>
    </row>
    <row r="51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</row>
    <row r="52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</row>
  </sheetData>
  <autoFilter ref="$A$2:$K$50"/>
  <mergeCells count="1">
    <mergeCell ref="A1:K1"/>
  </mergeCells>
  <conditionalFormatting sqref="D3:F52">
    <cfRule type="expression" dxfId="0" priority="1">
      <formula>D3&gt;=MAX(D$3:D$109)</formula>
    </cfRule>
  </conditionalFormatting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8.0"/>
    <col customWidth="1" min="2" max="2" width="11.5"/>
    <col customWidth="1" min="3" max="3" width="11.75"/>
    <col customWidth="1" min="4" max="4" width="8.25"/>
    <col customWidth="1" min="5" max="5" width="6.13"/>
    <col customWidth="1" min="6" max="6" width="7.63"/>
    <col customWidth="1" min="7" max="7" width="7.0"/>
    <col customWidth="1" min="8" max="8" width="8.88"/>
    <col customWidth="1" min="9" max="9" width="7.0"/>
    <col customWidth="1" min="10" max="10" width="6.75"/>
  </cols>
  <sheetData>
    <row r="1" ht="30.75" customHeight="1">
      <c r="A1" s="1" t="s">
        <v>378</v>
      </c>
    </row>
    <row r="2" ht="15.0" customHeight="1">
      <c r="A2" s="3" t="s">
        <v>3</v>
      </c>
      <c r="B2" s="3" t="s">
        <v>4</v>
      </c>
      <c r="C2" s="3" t="s">
        <v>5</v>
      </c>
      <c r="D2" s="3" t="s">
        <v>380</v>
      </c>
      <c r="E2" s="3" t="s">
        <v>13</v>
      </c>
      <c r="F2" s="3" t="s">
        <v>16</v>
      </c>
      <c r="G2" s="3" t="s">
        <v>17</v>
      </c>
      <c r="H2" s="3" t="s">
        <v>18</v>
      </c>
      <c r="I2" s="11" t="s">
        <v>19</v>
      </c>
      <c r="J2" s="12" t="s">
        <v>20</v>
      </c>
    </row>
    <row r="3" ht="15.0" customHeight="1">
      <c r="A3" s="13" t="s">
        <v>383</v>
      </c>
      <c r="B3" s="13" t="s">
        <v>384</v>
      </c>
      <c r="C3" s="13" t="s">
        <v>167</v>
      </c>
      <c r="D3" s="13">
        <v>55.0</v>
      </c>
      <c r="E3" s="13">
        <v>0.0</v>
      </c>
      <c r="F3" s="13" t="s">
        <v>29</v>
      </c>
      <c r="G3" s="13" t="s">
        <v>30</v>
      </c>
      <c r="H3" s="13">
        <v>1.0</v>
      </c>
      <c r="I3" s="20">
        <f>vlookup(H3,Superbowls!$A$2:$B$115,2,FALSE)</f>
        <v>2009</v>
      </c>
      <c r="J3" s="28" t="s">
        <v>36</v>
      </c>
    </row>
    <row r="4" ht="15.0" customHeight="1">
      <c r="A4" s="13" t="s">
        <v>388</v>
      </c>
      <c r="B4" s="13" t="s">
        <v>389</v>
      </c>
      <c r="C4" s="13" t="s">
        <v>390</v>
      </c>
      <c r="D4" s="13">
        <v>26.0</v>
      </c>
      <c r="E4" s="13">
        <v>0.0</v>
      </c>
      <c r="F4" s="13" t="s">
        <v>34</v>
      </c>
      <c r="G4" s="13" t="s">
        <v>35</v>
      </c>
      <c r="H4" s="13">
        <v>1.0</v>
      </c>
      <c r="I4" s="20">
        <f>vlookup(H4,Superbowls!$A$2:$B$115,2,FALSE)</f>
        <v>2009</v>
      </c>
      <c r="J4" s="28" t="s">
        <v>36</v>
      </c>
    </row>
    <row r="5" ht="15.0" customHeight="1">
      <c r="A5" s="13" t="s">
        <v>383</v>
      </c>
      <c r="B5" s="13" t="s">
        <v>392</v>
      </c>
      <c r="C5" s="13" t="s">
        <v>296</v>
      </c>
      <c r="D5" s="13">
        <v>63.0</v>
      </c>
      <c r="E5" s="13">
        <v>0.0</v>
      </c>
      <c r="F5" s="13" t="s">
        <v>47</v>
      </c>
      <c r="G5" s="13" t="s">
        <v>30</v>
      </c>
      <c r="H5" s="13">
        <v>2.0</v>
      </c>
      <c r="I5" s="20">
        <f>vlookup(H5,Superbowls!$A$2:$B$115,2,FALSE)</f>
        <v>2009</v>
      </c>
      <c r="J5" s="28" t="s">
        <v>36</v>
      </c>
    </row>
    <row r="6" ht="15.0" customHeight="1">
      <c r="A6" s="13" t="s">
        <v>388</v>
      </c>
      <c r="B6" s="13" t="s">
        <v>395</v>
      </c>
      <c r="C6" s="13" t="s">
        <v>396</v>
      </c>
      <c r="D6" s="13">
        <v>21.0</v>
      </c>
      <c r="E6" s="13">
        <v>0.0</v>
      </c>
      <c r="F6" s="13" t="s">
        <v>54</v>
      </c>
      <c r="G6" s="13" t="s">
        <v>42</v>
      </c>
      <c r="H6" s="13">
        <v>2.0</v>
      </c>
      <c r="I6" s="20">
        <f>vlookup(H6,Superbowls!$A$2:$B$115,2,FALSE)</f>
        <v>2009</v>
      </c>
      <c r="J6" s="28" t="s">
        <v>36</v>
      </c>
    </row>
    <row r="7" ht="15.0" customHeight="1">
      <c r="A7" s="13" t="s">
        <v>383</v>
      </c>
      <c r="B7" s="13" t="s">
        <v>398</v>
      </c>
      <c r="C7" s="13" t="s">
        <v>399</v>
      </c>
      <c r="D7" s="13">
        <v>30.0</v>
      </c>
      <c r="E7" s="13">
        <v>0.0</v>
      </c>
      <c r="F7" s="13" t="s">
        <v>60</v>
      </c>
      <c r="G7" s="13" t="s">
        <v>30</v>
      </c>
      <c r="H7" s="13">
        <v>3.0</v>
      </c>
      <c r="I7" s="20">
        <f>vlookup(H7,Superbowls!$A$2:$B$115,2,FALSE)</f>
        <v>2009</v>
      </c>
      <c r="J7" s="28" t="s">
        <v>36</v>
      </c>
    </row>
    <row r="8" ht="15.0" customHeight="1">
      <c r="A8" s="13" t="s">
        <v>388</v>
      </c>
      <c r="B8" s="13" t="s">
        <v>389</v>
      </c>
      <c r="C8" s="13" t="s">
        <v>390</v>
      </c>
      <c r="D8" s="13">
        <v>29.0</v>
      </c>
      <c r="E8" s="13">
        <v>0.0</v>
      </c>
      <c r="F8" s="13" t="s">
        <v>34</v>
      </c>
      <c r="G8" s="13" t="s">
        <v>35</v>
      </c>
      <c r="H8" s="13">
        <v>3.0</v>
      </c>
      <c r="I8" s="20">
        <f>vlookup(H8,Superbowls!$A$2:$B$115,2,FALSE)</f>
        <v>2009</v>
      </c>
      <c r="J8" s="28" t="s">
        <v>36</v>
      </c>
    </row>
    <row r="9" ht="15.0" customHeight="1">
      <c r="A9" s="13" t="s">
        <v>383</v>
      </c>
      <c r="B9" s="13" t="s">
        <v>96</v>
      </c>
      <c r="C9" s="13" t="s">
        <v>349</v>
      </c>
      <c r="D9" s="13">
        <v>29.0</v>
      </c>
      <c r="E9" s="13">
        <v>0.0</v>
      </c>
      <c r="F9" s="13" t="s">
        <v>57</v>
      </c>
      <c r="G9" s="13" t="s">
        <v>42</v>
      </c>
      <c r="H9" s="13">
        <v>3.0</v>
      </c>
      <c r="I9" s="20">
        <f>vlookup(H9,Superbowls!$A$2:$B$115,2,FALSE)</f>
        <v>2009</v>
      </c>
      <c r="J9" s="28" t="s">
        <v>36</v>
      </c>
    </row>
    <row r="10" ht="15.0" customHeight="1">
      <c r="A10" s="13" t="s">
        <v>388</v>
      </c>
      <c r="B10" s="13" t="s">
        <v>389</v>
      </c>
      <c r="C10" s="13" t="s">
        <v>390</v>
      </c>
      <c r="D10" s="13">
        <v>51.0</v>
      </c>
      <c r="E10" s="13">
        <v>2.0</v>
      </c>
      <c r="F10" s="13" t="s">
        <v>34</v>
      </c>
      <c r="G10" s="13" t="s">
        <v>35</v>
      </c>
      <c r="H10" s="13">
        <v>4.0</v>
      </c>
      <c r="I10" s="20">
        <f>vlookup(H10,Superbowls!$A$2:$B$115,2,FALSE)</f>
        <v>2009</v>
      </c>
      <c r="J10" s="28" t="s">
        <v>36</v>
      </c>
    </row>
    <row r="11" ht="15.0" customHeight="1">
      <c r="A11" s="13" t="s">
        <v>408</v>
      </c>
      <c r="B11" s="13" t="s">
        <v>409</v>
      </c>
      <c r="C11" s="13" t="s">
        <v>410</v>
      </c>
      <c r="D11" s="13">
        <v>36.0</v>
      </c>
      <c r="E11" s="13">
        <v>4.0</v>
      </c>
      <c r="F11" s="13" t="s">
        <v>79</v>
      </c>
      <c r="G11" s="13" t="s">
        <v>30</v>
      </c>
      <c r="H11" s="13">
        <v>4.0</v>
      </c>
      <c r="I11" s="20">
        <f>vlookup(H11,Superbowls!$A$2:$B$115,2,FALSE)</f>
        <v>2009</v>
      </c>
      <c r="J11" s="28" t="s">
        <v>36</v>
      </c>
    </row>
    <row r="12" ht="15.0" customHeight="1">
      <c r="A12" s="13" t="s">
        <v>388</v>
      </c>
      <c r="B12" s="13" t="s">
        <v>414</v>
      </c>
      <c r="C12" s="13" t="s">
        <v>128</v>
      </c>
      <c r="D12" s="13">
        <v>16.0</v>
      </c>
      <c r="E12" s="13">
        <v>0.0</v>
      </c>
      <c r="F12" s="13" t="s">
        <v>62</v>
      </c>
      <c r="G12" s="13" t="s">
        <v>63</v>
      </c>
      <c r="H12" s="13">
        <v>4.0</v>
      </c>
      <c r="I12" s="20">
        <f>vlookup(H12,Superbowls!$A$2:$B$115,2,FALSE)</f>
        <v>2009</v>
      </c>
      <c r="J12" s="28" t="s">
        <v>36</v>
      </c>
    </row>
    <row r="13" ht="15.0" customHeight="1">
      <c r="A13" s="13" t="s">
        <v>383</v>
      </c>
      <c r="B13" s="13" t="s">
        <v>282</v>
      </c>
      <c r="C13" s="13" t="s">
        <v>416</v>
      </c>
      <c r="D13" s="13">
        <v>73.0</v>
      </c>
      <c r="E13" s="13">
        <v>1.0</v>
      </c>
      <c r="F13" s="13" t="s">
        <v>89</v>
      </c>
      <c r="G13" s="13" t="s">
        <v>30</v>
      </c>
      <c r="H13" s="13">
        <v>5.0</v>
      </c>
      <c r="I13" s="20">
        <f>vlookup(H13,Superbowls!$A$2:$B$115,2,FALSE)</f>
        <v>2010</v>
      </c>
      <c r="J13" s="28" t="s">
        <v>36</v>
      </c>
    </row>
    <row r="14" ht="15.0" customHeight="1">
      <c r="A14" s="13" t="s">
        <v>383</v>
      </c>
      <c r="B14" s="13" t="s">
        <v>417</v>
      </c>
      <c r="C14" s="13" t="s">
        <v>82</v>
      </c>
      <c r="D14" s="13">
        <v>22.0</v>
      </c>
      <c r="E14" s="13">
        <v>2.0</v>
      </c>
      <c r="F14" s="13" t="s">
        <v>89</v>
      </c>
      <c r="G14" s="13" t="s">
        <v>30</v>
      </c>
      <c r="H14" s="13">
        <v>5.0</v>
      </c>
      <c r="I14" s="20">
        <f>vlookup(H14,Superbowls!$A$2:$B$115,2,FALSE)</f>
        <v>2010</v>
      </c>
      <c r="J14" s="28" t="s">
        <v>36</v>
      </c>
    </row>
    <row r="15" ht="15.0" customHeight="1">
      <c r="A15" s="13" t="s">
        <v>388</v>
      </c>
      <c r="B15" s="13" t="s">
        <v>37</v>
      </c>
      <c r="C15" s="13" t="s">
        <v>419</v>
      </c>
      <c r="D15" s="13">
        <v>20.0</v>
      </c>
      <c r="E15" s="13">
        <v>1.0</v>
      </c>
      <c r="F15" s="13" t="s">
        <v>81</v>
      </c>
      <c r="G15" s="13" t="s">
        <v>63</v>
      </c>
      <c r="H15" s="13">
        <v>5.0</v>
      </c>
      <c r="I15" s="20">
        <f>vlookup(H15,Superbowls!$A$2:$B$115,2,FALSE)</f>
        <v>2010</v>
      </c>
      <c r="J15" s="28" t="s">
        <v>36</v>
      </c>
    </row>
    <row r="16" ht="15.0" customHeight="1">
      <c r="A16" s="13" t="s">
        <v>422</v>
      </c>
      <c r="B16" s="13" t="s">
        <v>37</v>
      </c>
      <c r="C16" s="13" t="s">
        <v>423</v>
      </c>
      <c r="D16" s="13">
        <v>0.0</v>
      </c>
      <c r="E16" s="13">
        <v>6.0</v>
      </c>
      <c r="F16" s="13" t="s">
        <v>81</v>
      </c>
      <c r="G16" s="13" t="s">
        <v>63</v>
      </c>
      <c r="H16" s="13">
        <v>5.0</v>
      </c>
      <c r="I16" s="20">
        <f>vlookup(H16,Superbowls!$A$2:$B$115,2,FALSE)</f>
        <v>2010</v>
      </c>
      <c r="J16" s="28" t="s">
        <v>36</v>
      </c>
    </row>
    <row r="17" ht="15.0" customHeight="1">
      <c r="A17" s="13" t="s">
        <v>383</v>
      </c>
      <c r="B17" s="13" t="s">
        <v>424</v>
      </c>
      <c r="C17" s="13" t="s">
        <v>332</v>
      </c>
      <c r="D17" s="13">
        <v>87.0</v>
      </c>
      <c r="E17" s="13">
        <v>1.0</v>
      </c>
      <c r="F17" s="13" t="s">
        <v>70</v>
      </c>
      <c r="G17" s="13" t="s">
        <v>71</v>
      </c>
      <c r="H17" s="20">
        <v>6.0</v>
      </c>
      <c r="I17" s="20">
        <f>vlookup(H17,Superbowls!$A$2:$B$115,2,FALSE)</f>
        <v>2011</v>
      </c>
      <c r="J17" s="28" t="s">
        <v>36</v>
      </c>
    </row>
    <row r="18">
      <c r="A18" s="28" t="s">
        <v>383</v>
      </c>
      <c r="B18" s="20" t="s">
        <v>178</v>
      </c>
      <c r="C18" s="20" t="s">
        <v>426</v>
      </c>
      <c r="D18" s="28">
        <v>36.0</v>
      </c>
      <c r="E18" s="28">
        <v>0.0</v>
      </c>
      <c r="F18" s="28" t="s">
        <v>89</v>
      </c>
      <c r="G18" s="28" t="s">
        <v>30</v>
      </c>
      <c r="H18" s="20">
        <v>7.0</v>
      </c>
      <c r="I18" s="20">
        <f>vlookup(H18,Superbowls!$A$2:$B$115,2,FALSE)</f>
        <v>2017</v>
      </c>
      <c r="J18" s="28" t="s">
        <v>36</v>
      </c>
    </row>
    <row r="19">
      <c r="A19" s="28" t="s">
        <v>388</v>
      </c>
      <c r="B19" s="20" t="s">
        <v>344</v>
      </c>
      <c r="C19" s="20" t="s">
        <v>428</v>
      </c>
      <c r="D19" s="28">
        <v>26.0</v>
      </c>
      <c r="E19" s="28">
        <v>0.0</v>
      </c>
      <c r="F19" s="28" t="s">
        <v>114</v>
      </c>
      <c r="G19" s="28" t="s">
        <v>42</v>
      </c>
      <c r="H19" s="20">
        <v>7.0</v>
      </c>
      <c r="I19" s="20">
        <f>vlookup(H19,Superbowls!$A$2:$B$115,2,FALSE)</f>
        <v>2017</v>
      </c>
      <c r="J19" s="28" t="s">
        <v>36</v>
      </c>
    </row>
    <row r="20">
      <c r="A20" s="28" t="s">
        <v>383</v>
      </c>
      <c r="B20" s="20" t="s">
        <v>282</v>
      </c>
      <c r="C20" s="20" t="s">
        <v>416</v>
      </c>
      <c r="D20" s="28">
        <v>25.0</v>
      </c>
      <c r="E20" s="28">
        <v>0.0</v>
      </c>
      <c r="F20" s="28" t="s">
        <v>89</v>
      </c>
      <c r="G20" s="28" t="s">
        <v>30</v>
      </c>
      <c r="H20" s="20">
        <v>7.0</v>
      </c>
      <c r="I20" s="20">
        <f>vlookup(H20,Superbowls!$A$2:$B$115,2,FALSE)</f>
        <v>2017</v>
      </c>
      <c r="J20" s="28" t="s">
        <v>36</v>
      </c>
    </row>
    <row r="21">
      <c r="A21" s="28" t="s">
        <v>408</v>
      </c>
      <c r="B21" s="20" t="s">
        <v>431</v>
      </c>
      <c r="C21" s="20" t="s">
        <v>216</v>
      </c>
      <c r="D21" s="28">
        <v>0.0</v>
      </c>
      <c r="E21" s="28">
        <v>9.0</v>
      </c>
      <c r="F21" s="28" t="s">
        <v>78</v>
      </c>
      <c r="G21" s="28" t="s">
        <v>432</v>
      </c>
      <c r="H21" s="20">
        <v>7.0</v>
      </c>
      <c r="I21" s="20">
        <f>vlookup(H21,Superbowls!$A$2:$B$115,2,FALSE)</f>
        <v>2017</v>
      </c>
      <c r="J21" s="28" t="s">
        <v>36</v>
      </c>
    </row>
    <row r="22">
      <c r="A22" s="28" t="s">
        <v>408</v>
      </c>
      <c r="B22" s="20" t="s">
        <v>436</v>
      </c>
      <c r="C22" s="20" t="s">
        <v>437</v>
      </c>
      <c r="D22" s="28">
        <v>0.0</v>
      </c>
      <c r="E22" s="28">
        <v>6.0</v>
      </c>
      <c r="F22" s="28" t="s">
        <v>47</v>
      </c>
      <c r="G22" s="28" t="s">
        <v>71</v>
      </c>
      <c r="H22" s="20">
        <v>7.0</v>
      </c>
      <c r="I22" s="20">
        <f>vlookup(H22,Superbowls!$A$2:$B$115,2,FALSE)</f>
        <v>2017</v>
      </c>
      <c r="J22" s="28" t="s">
        <v>36</v>
      </c>
    </row>
    <row r="23">
      <c r="A23" s="28" t="s">
        <v>383</v>
      </c>
      <c r="B23" s="20" t="s">
        <v>439</v>
      </c>
      <c r="C23" s="20" t="s">
        <v>440</v>
      </c>
      <c r="D23" s="28">
        <v>31.0</v>
      </c>
      <c r="E23" s="28">
        <v>0.0</v>
      </c>
      <c r="F23" s="28" t="s">
        <v>131</v>
      </c>
      <c r="G23" s="28" t="s">
        <v>30</v>
      </c>
      <c r="H23" s="20">
        <v>8.0</v>
      </c>
      <c r="I23" s="20">
        <f>vlookup(H23,Superbowls!$A$2:$B$115,2,FALSE)</f>
        <v>2017</v>
      </c>
      <c r="J23" s="28" t="s">
        <v>36</v>
      </c>
    </row>
    <row r="24">
      <c r="A24" s="28" t="s">
        <v>441</v>
      </c>
      <c r="B24" s="20" t="s">
        <v>442</v>
      </c>
      <c r="C24" s="20" t="s">
        <v>113</v>
      </c>
      <c r="D24" s="28">
        <v>0.0</v>
      </c>
      <c r="E24" s="28">
        <v>10.0</v>
      </c>
      <c r="F24" s="28" t="s">
        <v>156</v>
      </c>
      <c r="G24" s="28" t="s">
        <v>432</v>
      </c>
      <c r="H24" s="20">
        <v>8.0</v>
      </c>
      <c r="I24" s="20">
        <f>vlookup(H24,Superbowls!$A$2:$B$115,2,FALSE)</f>
        <v>2017</v>
      </c>
      <c r="J24" s="28" t="s">
        <v>36</v>
      </c>
    </row>
    <row r="25">
      <c r="A25" s="28" t="s">
        <v>408</v>
      </c>
      <c r="B25" s="20" t="s">
        <v>431</v>
      </c>
      <c r="C25" s="20" t="s">
        <v>216</v>
      </c>
      <c r="D25" s="28">
        <v>0.0</v>
      </c>
      <c r="E25" s="28">
        <v>10.0</v>
      </c>
      <c r="F25" s="28" t="s">
        <v>78</v>
      </c>
      <c r="G25" s="28" t="s">
        <v>42</v>
      </c>
      <c r="H25" s="20">
        <v>8.0</v>
      </c>
      <c r="I25" s="20">
        <f>vlookup(H25,Superbowls!$A$2:$B$115,2,FALSE)</f>
        <v>2017</v>
      </c>
      <c r="J25" s="28" t="s">
        <v>36</v>
      </c>
    </row>
    <row r="26">
      <c r="A26" s="28" t="s">
        <v>408</v>
      </c>
      <c r="B26" s="20" t="s">
        <v>443</v>
      </c>
      <c r="C26" s="20" t="s">
        <v>444</v>
      </c>
      <c r="D26" s="28">
        <v>0.0</v>
      </c>
      <c r="E26" s="28">
        <v>5.0</v>
      </c>
      <c r="F26" s="28" t="s">
        <v>79</v>
      </c>
      <c r="G26" s="28" t="s">
        <v>71</v>
      </c>
      <c r="H26" s="20">
        <v>8.0</v>
      </c>
      <c r="I26" s="20">
        <f>vlookup(H26,Superbowls!$A$2:$B$115,2,FALSE)</f>
        <v>2017</v>
      </c>
      <c r="J26" s="28" t="s">
        <v>36</v>
      </c>
    </row>
    <row r="27">
      <c r="A27" s="28" t="s">
        <v>408</v>
      </c>
      <c r="B27" s="20" t="s">
        <v>445</v>
      </c>
      <c r="C27" s="20" t="s">
        <v>446</v>
      </c>
      <c r="D27" s="28">
        <v>0.0</v>
      </c>
      <c r="E27" s="28">
        <v>5.0</v>
      </c>
      <c r="F27" s="28" t="s">
        <v>107</v>
      </c>
      <c r="G27" s="28" t="s">
        <v>63</v>
      </c>
      <c r="H27" s="20">
        <v>8.0</v>
      </c>
      <c r="I27" s="20">
        <f>vlookup(H27,Superbowls!$A$2:$B$115,2,FALSE)</f>
        <v>2017</v>
      </c>
      <c r="J27" s="28" t="s">
        <v>36</v>
      </c>
    </row>
    <row r="28">
      <c r="A28" s="28" t="s">
        <v>408</v>
      </c>
      <c r="B28" s="20" t="s">
        <v>409</v>
      </c>
      <c r="C28" s="20" t="s">
        <v>410</v>
      </c>
      <c r="D28" s="28">
        <v>0.0</v>
      </c>
      <c r="E28" s="28">
        <v>4.0</v>
      </c>
      <c r="F28" s="28" t="s">
        <v>79</v>
      </c>
      <c r="G28" s="28" t="s">
        <v>71</v>
      </c>
      <c r="H28" s="20">
        <v>8.0</v>
      </c>
      <c r="I28" s="20">
        <f>vlookup(H28,Superbowls!$A$2:$B$115,2,FALSE)</f>
        <v>2017</v>
      </c>
      <c r="J28" s="28" t="s">
        <v>36</v>
      </c>
    </row>
    <row r="29">
      <c r="A29" s="28" t="s">
        <v>383</v>
      </c>
      <c r="B29" s="20" t="s">
        <v>447</v>
      </c>
      <c r="C29" s="20" t="s">
        <v>448</v>
      </c>
      <c r="D29" s="28">
        <v>40.0</v>
      </c>
      <c r="E29" s="28">
        <v>0.0</v>
      </c>
      <c r="F29" s="28" t="s">
        <v>101</v>
      </c>
      <c r="G29" s="28" t="s">
        <v>71</v>
      </c>
      <c r="H29" s="27">
        <v>9.0</v>
      </c>
      <c r="I29" s="20">
        <f>vlookup(H29,Superbowls!$A$2:$B$115,2,FALSE)</f>
        <v>2017</v>
      </c>
      <c r="J29" s="28" t="s">
        <v>36</v>
      </c>
    </row>
    <row r="30">
      <c r="A30" s="28" t="s">
        <v>383</v>
      </c>
      <c r="B30" s="20" t="s">
        <v>450</v>
      </c>
      <c r="C30" s="20" t="s">
        <v>451</v>
      </c>
      <c r="D30" s="28">
        <v>34.0</v>
      </c>
      <c r="E30" s="28">
        <v>0.0</v>
      </c>
      <c r="F30" s="28" t="s">
        <v>90</v>
      </c>
      <c r="G30" s="28" t="s">
        <v>30</v>
      </c>
      <c r="H30" s="27">
        <v>9.0</v>
      </c>
      <c r="I30" s="20">
        <f>vlookup(H30,Superbowls!$A$2:$B$115,2,FALSE)</f>
        <v>2017</v>
      </c>
      <c r="J30" s="28" t="s">
        <v>36</v>
      </c>
    </row>
    <row r="31">
      <c r="A31" s="28" t="s">
        <v>452</v>
      </c>
      <c r="B31" s="20" t="s">
        <v>453</v>
      </c>
      <c r="C31" s="20" t="s">
        <v>82</v>
      </c>
      <c r="D31" s="28">
        <v>20.0</v>
      </c>
      <c r="E31" s="28">
        <v>0.0</v>
      </c>
      <c r="F31" s="28" t="s">
        <v>90</v>
      </c>
      <c r="G31" s="28" t="s">
        <v>30</v>
      </c>
      <c r="H31" s="27">
        <v>9.0</v>
      </c>
      <c r="I31" s="20">
        <f>vlookup(H31,Superbowls!$A$2:$B$115,2,FALSE)</f>
        <v>2017</v>
      </c>
      <c r="J31" s="28" t="s">
        <v>36</v>
      </c>
    </row>
    <row r="32">
      <c r="A32" s="28" t="s">
        <v>452</v>
      </c>
      <c r="B32" s="20" t="s">
        <v>454</v>
      </c>
      <c r="C32" s="20" t="s">
        <v>455</v>
      </c>
      <c r="D32" s="28">
        <v>17.0</v>
      </c>
      <c r="E32" s="28">
        <v>0.0</v>
      </c>
      <c r="F32" s="28" t="s">
        <v>101</v>
      </c>
      <c r="G32" s="28" t="s">
        <v>71</v>
      </c>
      <c r="H32" s="27">
        <v>9.0</v>
      </c>
      <c r="I32" s="20">
        <f>vlookup(H32,Superbowls!$A$2:$B$115,2,FALSE)</f>
        <v>2017</v>
      </c>
      <c r="J32" s="28" t="s">
        <v>36</v>
      </c>
    </row>
    <row r="33">
      <c r="A33" s="28" t="s">
        <v>452</v>
      </c>
      <c r="B33" s="20" t="s">
        <v>457</v>
      </c>
      <c r="C33" s="20" t="s">
        <v>138</v>
      </c>
      <c r="D33" s="28">
        <v>16.0</v>
      </c>
      <c r="E33" s="28">
        <v>0.0</v>
      </c>
      <c r="F33" s="28" t="s">
        <v>93</v>
      </c>
      <c r="G33" s="28" t="s">
        <v>42</v>
      </c>
      <c r="H33" s="27">
        <v>9.0</v>
      </c>
      <c r="I33" s="20">
        <f>vlookup(H33,Superbowls!$A$2:$B$115,2,FALSE)</f>
        <v>2017</v>
      </c>
      <c r="J33" s="28" t="s">
        <v>36</v>
      </c>
    </row>
    <row r="34">
      <c r="A34" s="28" t="s">
        <v>408</v>
      </c>
      <c r="B34" s="20" t="s">
        <v>460</v>
      </c>
      <c r="C34" s="20" t="s">
        <v>461</v>
      </c>
      <c r="D34" s="28">
        <v>0.0</v>
      </c>
      <c r="E34" s="28">
        <v>6.0</v>
      </c>
      <c r="F34" s="28" t="s">
        <v>101</v>
      </c>
      <c r="G34" s="28" t="s">
        <v>71</v>
      </c>
      <c r="H34" s="27">
        <v>9.0</v>
      </c>
      <c r="I34" s="20">
        <f>vlookup(H34,Superbowls!$A$2:$B$115,2,FALSE)</f>
        <v>2017</v>
      </c>
      <c r="J34" s="28" t="s">
        <v>36</v>
      </c>
    </row>
    <row r="35">
      <c r="A35" s="28" t="s">
        <v>408</v>
      </c>
      <c r="B35" s="20" t="s">
        <v>447</v>
      </c>
      <c r="C35" s="20" t="s">
        <v>272</v>
      </c>
      <c r="D35" s="28">
        <v>0.0</v>
      </c>
      <c r="E35" s="28">
        <v>5.0</v>
      </c>
      <c r="F35" s="28" t="s">
        <v>90</v>
      </c>
      <c r="G35" s="28" t="s">
        <v>30</v>
      </c>
      <c r="H35" s="27">
        <v>9.0</v>
      </c>
      <c r="I35" s="20">
        <f>vlookup(H35,Superbowls!$A$2:$B$115,2,FALSE)</f>
        <v>2017</v>
      </c>
      <c r="J35" s="28" t="s">
        <v>36</v>
      </c>
    </row>
    <row r="36">
      <c r="A36" s="28" t="s">
        <v>383</v>
      </c>
      <c r="B36" s="20" t="s">
        <v>293</v>
      </c>
      <c r="C36" s="20" t="s">
        <v>462</v>
      </c>
      <c r="D36" s="28">
        <v>58.0</v>
      </c>
      <c r="E36" s="28">
        <v>3.0</v>
      </c>
      <c r="F36" s="28" t="s">
        <v>62</v>
      </c>
      <c r="G36" s="28" t="s">
        <v>30</v>
      </c>
      <c r="H36" s="27">
        <v>10.0</v>
      </c>
      <c r="I36" s="20">
        <f>vlookup(H36,Superbowls!$A$2:$B$115,2,FALSE)</f>
        <v>2018</v>
      </c>
      <c r="J36" s="28" t="s">
        <v>36</v>
      </c>
    </row>
    <row r="37">
      <c r="A37" s="28" t="s">
        <v>383</v>
      </c>
      <c r="B37" s="20" t="s">
        <v>282</v>
      </c>
      <c r="C37" s="20" t="s">
        <v>416</v>
      </c>
      <c r="D37" s="28">
        <v>37.0</v>
      </c>
      <c r="E37" s="28">
        <v>2.0</v>
      </c>
      <c r="F37" s="28" t="s">
        <v>89</v>
      </c>
      <c r="G37" s="28" t="s">
        <v>71</v>
      </c>
      <c r="H37" s="27">
        <v>10.0</v>
      </c>
      <c r="I37" s="20">
        <f>vlookup(H37,Superbowls!$A$2:$B$115,2,FALSE)</f>
        <v>2018</v>
      </c>
      <c r="J37" s="28" t="s">
        <v>36</v>
      </c>
    </row>
    <row r="38">
      <c r="A38" s="28" t="s">
        <v>383</v>
      </c>
      <c r="B38" s="20" t="s">
        <v>417</v>
      </c>
      <c r="C38" s="20" t="s">
        <v>82</v>
      </c>
      <c r="D38" s="28">
        <v>18.0</v>
      </c>
      <c r="E38" s="28">
        <v>0.0</v>
      </c>
      <c r="F38" s="28" t="s">
        <v>89</v>
      </c>
      <c r="G38" s="28" t="s">
        <v>71</v>
      </c>
      <c r="H38" s="27">
        <v>10.0</v>
      </c>
      <c r="I38" s="20">
        <f>vlookup(H38,Superbowls!$A$2:$B$115,2,FALSE)</f>
        <v>2018</v>
      </c>
      <c r="J38" s="28" t="s">
        <v>36</v>
      </c>
    </row>
    <row r="39">
      <c r="A39" s="28" t="s">
        <v>383</v>
      </c>
      <c r="B39" s="20" t="s">
        <v>468</v>
      </c>
      <c r="C39" s="20" t="s">
        <v>469</v>
      </c>
      <c r="D39" s="28">
        <v>16.0</v>
      </c>
      <c r="E39" s="28">
        <v>0.0</v>
      </c>
      <c r="F39" s="28" t="s">
        <v>81</v>
      </c>
      <c r="G39" s="28" t="s">
        <v>63</v>
      </c>
      <c r="H39" s="27">
        <v>10.0</v>
      </c>
      <c r="I39" s="20">
        <f>vlookup(H39,Superbowls!$A$2:$B$115,2,FALSE)</f>
        <v>2018</v>
      </c>
      <c r="J39" s="28" t="s">
        <v>36</v>
      </c>
    </row>
    <row r="40">
      <c r="A40" s="28" t="s">
        <v>408</v>
      </c>
      <c r="B40" s="20" t="s">
        <v>178</v>
      </c>
      <c r="C40" s="20" t="s">
        <v>470</v>
      </c>
      <c r="D40" s="28">
        <v>4.0</v>
      </c>
      <c r="E40" s="28">
        <v>7.0</v>
      </c>
      <c r="F40" s="28" t="s">
        <v>54</v>
      </c>
      <c r="G40" s="28" t="s">
        <v>42</v>
      </c>
      <c r="H40" s="27">
        <v>10.0</v>
      </c>
      <c r="I40" s="20">
        <f>vlookup(H40,Superbowls!$A$2:$B$115,2,FALSE)</f>
        <v>2018</v>
      </c>
      <c r="J40" s="28" t="s">
        <v>36</v>
      </c>
    </row>
    <row r="41">
      <c r="A41" s="28" t="s">
        <v>383</v>
      </c>
      <c r="B41" s="20" t="s">
        <v>384</v>
      </c>
      <c r="C41" s="20" t="s">
        <v>167</v>
      </c>
      <c r="D41" s="28">
        <v>20.0</v>
      </c>
      <c r="E41" s="28">
        <v>1.0</v>
      </c>
      <c r="F41" s="28" t="s">
        <v>29</v>
      </c>
      <c r="G41" s="28" t="s">
        <v>42</v>
      </c>
      <c r="H41" s="27">
        <v>11.0</v>
      </c>
      <c r="I41" s="20">
        <f>vlookup(H41,Superbowls!$A$2:$B$115,2,FALSE)</f>
        <v>2019</v>
      </c>
      <c r="J41" s="28" t="s">
        <v>36</v>
      </c>
    </row>
    <row r="42">
      <c r="A42" s="28" t="s">
        <v>472</v>
      </c>
      <c r="B42" s="20" t="s">
        <v>473</v>
      </c>
      <c r="C42" s="20" t="s">
        <v>474</v>
      </c>
      <c r="D42" s="28">
        <v>16.0</v>
      </c>
      <c r="E42" s="28">
        <v>0.0</v>
      </c>
      <c r="F42" s="28" t="s">
        <v>57</v>
      </c>
      <c r="G42" s="28" t="s">
        <v>71</v>
      </c>
      <c r="H42" s="27">
        <v>11.0</v>
      </c>
      <c r="I42" s="20">
        <f>vlookup(H42,Superbowls!$A$2:$B$115,2,FALSE)</f>
        <v>2019</v>
      </c>
      <c r="J42" s="28" t="s">
        <v>36</v>
      </c>
    </row>
    <row r="43">
      <c r="A43" s="28" t="s">
        <v>472</v>
      </c>
      <c r="B43" s="20" t="s">
        <v>475</v>
      </c>
      <c r="C43" s="20" t="s">
        <v>476</v>
      </c>
      <c r="D43" s="28">
        <v>15.0</v>
      </c>
      <c r="E43" s="28">
        <v>0.0</v>
      </c>
      <c r="F43" s="28" t="s">
        <v>112</v>
      </c>
      <c r="G43" s="28" t="s">
        <v>30</v>
      </c>
      <c r="H43" s="27">
        <v>11.0</v>
      </c>
      <c r="I43" s="20">
        <f>vlookup(H43,Superbowls!$A$2:$B$115,2,FALSE)</f>
        <v>2019</v>
      </c>
      <c r="J43" s="28" t="s">
        <v>36</v>
      </c>
    </row>
    <row r="44">
      <c r="A44" s="28" t="s">
        <v>383</v>
      </c>
      <c r="B44" s="20" t="s">
        <v>96</v>
      </c>
      <c r="C44" s="20" t="s">
        <v>349</v>
      </c>
      <c r="D44" s="28">
        <v>12.0</v>
      </c>
      <c r="E44" s="28">
        <v>3.0</v>
      </c>
      <c r="F44" s="28" t="s">
        <v>57</v>
      </c>
      <c r="G44" s="28" t="s">
        <v>71</v>
      </c>
      <c r="H44" s="27">
        <v>11.0</v>
      </c>
      <c r="I44" s="20">
        <f>vlookup(H44,Superbowls!$A$2:$B$115,2,FALSE)</f>
        <v>2019</v>
      </c>
      <c r="J44" s="28" t="s">
        <v>36</v>
      </c>
    </row>
    <row r="45">
      <c r="A45" s="28" t="s">
        <v>383</v>
      </c>
      <c r="B45" s="20" t="s">
        <v>477</v>
      </c>
      <c r="C45" s="20" t="s">
        <v>291</v>
      </c>
      <c r="D45" s="28">
        <v>9.0</v>
      </c>
      <c r="E45" s="28">
        <v>0.0</v>
      </c>
      <c r="F45" s="28" t="s">
        <v>107</v>
      </c>
      <c r="G45" s="28" t="s">
        <v>35</v>
      </c>
      <c r="H45" s="27">
        <v>11.0</v>
      </c>
      <c r="I45" s="20">
        <f>vlookup(H45,Superbowls!$A$2:$B$115,2,FALSE)</f>
        <v>2019</v>
      </c>
      <c r="J45" s="28" t="s">
        <v>36</v>
      </c>
    </row>
    <row r="46">
      <c r="A46" s="28" t="s">
        <v>422</v>
      </c>
      <c r="B46" s="20" t="s">
        <v>479</v>
      </c>
      <c r="C46" s="20" t="s">
        <v>177</v>
      </c>
      <c r="D46" s="28">
        <v>4.0</v>
      </c>
      <c r="E46" s="28">
        <v>10.0</v>
      </c>
      <c r="F46" s="28" t="s">
        <v>112</v>
      </c>
      <c r="G46" s="28" t="s">
        <v>30</v>
      </c>
      <c r="H46" s="27">
        <v>11.0</v>
      </c>
      <c r="I46" s="20">
        <f>vlookup(H46,Superbowls!$A$2:$B$115,2,FALSE)</f>
        <v>2019</v>
      </c>
      <c r="J46" s="28" t="s">
        <v>36</v>
      </c>
    </row>
    <row r="47">
      <c r="A47" s="28" t="s">
        <v>408</v>
      </c>
      <c r="B47" s="20" t="s">
        <v>445</v>
      </c>
      <c r="C47" s="20" t="s">
        <v>446</v>
      </c>
      <c r="D47" s="28">
        <v>2.0</v>
      </c>
      <c r="E47" s="28">
        <v>6.0</v>
      </c>
      <c r="F47" s="28" t="s">
        <v>107</v>
      </c>
      <c r="G47" s="28" t="s">
        <v>35</v>
      </c>
      <c r="H47" s="27">
        <v>11.0</v>
      </c>
      <c r="I47" s="20">
        <f>vlookup(H47,Superbowls!$A$2:$B$115,2,FALSE)</f>
        <v>2019</v>
      </c>
      <c r="J47" s="28" t="s">
        <v>36</v>
      </c>
    </row>
    <row r="48">
      <c r="A48" s="28" t="s">
        <v>484</v>
      </c>
      <c r="B48" s="20" t="s">
        <v>447</v>
      </c>
      <c r="C48" s="20" t="s">
        <v>448</v>
      </c>
      <c r="D48" s="28">
        <v>82.0</v>
      </c>
      <c r="E48" s="28">
        <v>0.0</v>
      </c>
      <c r="F48" s="28" t="s">
        <v>101</v>
      </c>
      <c r="G48" s="28" t="s">
        <v>30</v>
      </c>
      <c r="H48" s="20">
        <v>12.0</v>
      </c>
      <c r="I48" s="20">
        <f>vlookup(H48,Superbowls!$A$2:$B$115,2,FALSE)</f>
        <v>2020</v>
      </c>
      <c r="J48" s="28" t="s">
        <v>36</v>
      </c>
    </row>
    <row r="49">
      <c r="A49" s="28" t="s">
        <v>484</v>
      </c>
      <c r="B49" s="20" t="s">
        <v>490</v>
      </c>
      <c r="C49" s="20" t="s">
        <v>177</v>
      </c>
      <c r="D49" s="28">
        <v>19.0</v>
      </c>
      <c r="E49" s="28">
        <v>1.0</v>
      </c>
      <c r="F49" s="28" t="s">
        <v>161</v>
      </c>
      <c r="G49" s="28" t="s">
        <v>42</v>
      </c>
      <c r="H49" s="20">
        <v>12.0</v>
      </c>
      <c r="I49" s="20">
        <f>vlookup(H49,Superbowls!$A$2:$B$115,2,FALSE)</f>
        <v>2020</v>
      </c>
      <c r="J49" s="28" t="s">
        <v>36</v>
      </c>
    </row>
    <row r="50">
      <c r="A50" s="28" t="s">
        <v>498</v>
      </c>
      <c r="B50" s="20" t="s">
        <v>500</v>
      </c>
      <c r="C50" s="20" t="s">
        <v>100</v>
      </c>
      <c r="D50" s="28">
        <v>16.0</v>
      </c>
      <c r="E50" s="28">
        <v>0.0</v>
      </c>
      <c r="F50" s="28" t="s">
        <v>121</v>
      </c>
      <c r="G50" s="28" t="s">
        <v>63</v>
      </c>
      <c r="H50" s="20">
        <v>12.0</v>
      </c>
      <c r="I50" s="20">
        <f>vlookup(H50,Superbowls!$A$2:$B$115,2,FALSE)</f>
        <v>2020</v>
      </c>
      <c r="J50" s="28" t="s">
        <v>36</v>
      </c>
    </row>
    <row r="51">
      <c r="A51" s="28" t="s">
        <v>498</v>
      </c>
      <c r="B51" s="20" t="s">
        <v>228</v>
      </c>
      <c r="C51" s="20" t="s">
        <v>503</v>
      </c>
      <c r="D51" s="28">
        <v>13.0</v>
      </c>
      <c r="E51" s="28">
        <v>0.0</v>
      </c>
      <c r="F51" s="28" t="s">
        <v>41</v>
      </c>
      <c r="G51" s="28" t="s">
        <v>71</v>
      </c>
      <c r="H51" s="20">
        <v>12.0</v>
      </c>
      <c r="I51" s="20">
        <f>vlookup(H51,Superbowls!$A$2:$B$115,2,FALSE)</f>
        <v>2020</v>
      </c>
      <c r="J51" s="28" t="s">
        <v>36</v>
      </c>
    </row>
    <row r="52">
      <c r="A52" s="28" t="s">
        <v>504</v>
      </c>
      <c r="B52" s="20" t="s">
        <v>505</v>
      </c>
      <c r="C52" s="20" t="s">
        <v>506</v>
      </c>
      <c r="D52" s="28">
        <v>2.0</v>
      </c>
      <c r="E52" s="28">
        <v>6.0</v>
      </c>
      <c r="F52" s="28" t="s">
        <v>161</v>
      </c>
      <c r="G52" s="28" t="s">
        <v>42</v>
      </c>
      <c r="H52" s="20">
        <v>12.0</v>
      </c>
      <c r="I52" s="20">
        <f>vlookup(H52,Superbowls!$A$2:$B$115,2,FALSE)</f>
        <v>2020</v>
      </c>
      <c r="J52" s="28" t="s">
        <v>36</v>
      </c>
    </row>
    <row r="53">
      <c r="A53" s="28" t="s">
        <v>422</v>
      </c>
      <c r="B53" s="20" t="s">
        <v>37</v>
      </c>
      <c r="C53" s="20" t="s">
        <v>448</v>
      </c>
      <c r="D53" s="28">
        <v>0.0</v>
      </c>
      <c r="E53" s="28">
        <v>6.0</v>
      </c>
      <c r="F53" s="28" t="s">
        <v>121</v>
      </c>
      <c r="G53" s="28" t="s">
        <v>63</v>
      </c>
      <c r="H53" s="20">
        <v>12.0</v>
      </c>
      <c r="I53" s="20">
        <f>vlookup(H53,Superbowls!$A$2:$B$115,2,FALSE)</f>
        <v>2020</v>
      </c>
      <c r="J53" s="28" t="s">
        <v>36</v>
      </c>
    </row>
    <row r="54">
      <c r="A54" s="28" t="s">
        <v>507</v>
      </c>
      <c r="B54" s="20" t="s">
        <v>389</v>
      </c>
      <c r="C54" s="20" t="s">
        <v>390</v>
      </c>
      <c r="D54" s="28">
        <v>73.0</v>
      </c>
      <c r="E54" s="28">
        <v>0.0</v>
      </c>
      <c r="F54" s="28" t="s">
        <v>34</v>
      </c>
      <c r="G54" s="28" t="s">
        <v>30</v>
      </c>
      <c r="H54" s="20">
        <v>13.0</v>
      </c>
      <c r="I54" s="20">
        <f>vlookup(H54,Superbowls!$A$2:$B$115,2,FALSE)</f>
        <v>2021</v>
      </c>
      <c r="J54" s="28" t="s">
        <v>36</v>
      </c>
    </row>
    <row r="55">
      <c r="A55" s="28" t="s">
        <v>498</v>
      </c>
      <c r="B55" s="20" t="s">
        <v>384</v>
      </c>
      <c r="C55" s="20" t="s">
        <v>167</v>
      </c>
      <c r="D55" s="28">
        <v>68.0</v>
      </c>
      <c r="E55" s="28">
        <v>0.0</v>
      </c>
      <c r="F55" s="28" t="s">
        <v>29</v>
      </c>
      <c r="G55" s="28" t="s">
        <v>71</v>
      </c>
      <c r="H55" s="20">
        <v>13.0</v>
      </c>
      <c r="I55" s="20">
        <f>vlookup(H55,Superbowls!$A$2:$B$115,2,FALSE)</f>
        <v>2021</v>
      </c>
      <c r="J55" s="28" t="s">
        <v>36</v>
      </c>
    </row>
    <row r="56">
      <c r="A56" s="28" t="s">
        <v>507</v>
      </c>
      <c r="B56" s="20" t="s">
        <v>414</v>
      </c>
      <c r="C56" s="20" t="s">
        <v>128</v>
      </c>
      <c r="D56" s="28">
        <v>55.0</v>
      </c>
      <c r="E56" s="28">
        <v>0.0</v>
      </c>
      <c r="F56" s="28" t="s">
        <v>62</v>
      </c>
      <c r="G56" s="28" t="s">
        <v>42</v>
      </c>
      <c r="H56" s="20">
        <v>13.0</v>
      </c>
      <c r="I56" s="20">
        <f>vlookup(H56,Superbowls!$A$2:$B$115,2,FALSE)</f>
        <v>2021</v>
      </c>
      <c r="J56" s="28" t="s">
        <v>36</v>
      </c>
    </row>
    <row r="57">
      <c r="A57" s="28" t="s">
        <v>383</v>
      </c>
      <c r="B57" s="20" t="s">
        <v>178</v>
      </c>
      <c r="C57" s="20" t="s">
        <v>509</v>
      </c>
      <c r="D57" s="28">
        <v>30.0</v>
      </c>
      <c r="E57" s="28">
        <v>0.0</v>
      </c>
      <c r="F57" s="28" t="s">
        <v>107</v>
      </c>
      <c r="G57" s="28" t="s">
        <v>30</v>
      </c>
      <c r="H57" s="20">
        <v>14.0</v>
      </c>
      <c r="I57" s="20">
        <f>vlookup(H57,Superbowls!$A$2:$B$115,2,FALSE)</f>
        <v>2022</v>
      </c>
      <c r="J57" s="28" t="s">
        <v>36</v>
      </c>
    </row>
    <row r="58">
      <c r="A58" s="28" t="s">
        <v>388</v>
      </c>
      <c r="B58" s="20" t="s">
        <v>344</v>
      </c>
      <c r="C58" s="20" t="s">
        <v>428</v>
      </c>
      <c r="D58" s="28">
        <v>30.0</v>
      </c>
      <c r="E58" s="28">
        <v>0.0</v>
      </c>
      <c r="F58" s="28" t="s">
        <v>114</v>
      </c>
      <c r="G58" s="28" t="s">
        <v>42</v>
      </c>
      <c r="H58" s="20">
        <v>14.0</v>
      </c>
      <c r="I58" s="20">
        <f>vlookup(H58,Superbowls!$A$2:$B$115,2,FALSE)</f>
        <v>2022</v>
      </c>
      <c r="J58" s="28" t="s">
        <v>36</v>
      </c>
    </row>
    <row r="59">
      <c r="A59" s="28" t="s">
        <v>383</v>
      </c>
      <c r="B59" s="20" t="s">
        <v>96</v>
      </c>
      <c r="C59" s="20" t="s">
        <v>349</v>
      </c>
      <c r="D59" s="28">
        <v>22.0</v>
      </c>
      <c r="E59" s="28">
        <v>2.0</v>
      </c>
      <c r="F59" s="28" t="s">
        <v>57</v>
      </c>
      <c r="G59" s="28" t="s">
        <v>71</v>
      </c>
      <c r="H59" s="20">
        <v>14.0</v>
      </c>
      <c r="I59" s="20">
        <f>vlookup(H59,Superbowls!$A$2:$B$115,2,FALSE)</f>
        <v>2022</v>
      </c>
      <c r="J59" s="28" t="s">
        <v>36</v>
      </c>
    </row>
    <row r="60">
      <c r="A60" s="28" t="s">
        <v>388</v>
      </c>
      <c r="B60" s="20" t="s">
        <v>473</v>
      </c>
      <c r="C60" s="20" t="s">
        <v>474</v>
      </c>
      <c r="D60" s="28">
        <v>17.0</v>
      </c>
      <c r="E60" s="28">
        <v>0.0</v>
      </c>
      <c r="F60" s="28" t="s">
        <v>57</v>
      </c>
      <c r="G60" s="28" t="s">
        <v>71</v>
      </c>
      <c r="H60" s="20">
        <v>14.0</v>
      </c>
      <c r="I60" s="20">
        <f>vlookup(H60,Superbowls!$A$2:$B$115,2,FALSE)</f>
        <v>2022</v>
      </c>
      <c r="J60" s="28" t="s">
        <v>36</v>
      </c>
    </row>
    <row r="61">
      <c r="A61" s="28" t="s">
        <v>504</v>
      </c>
      <c r="B61" s="20" t="s">
        <v>511</v>
      </c>
      <c r="C61" s="20" t="s">
        <v>399</v>
      </c>
      <c r="D61" s="28">
        <v>0.0</v>
      </c>
      <c r="E61" s="28">
        <v>7.0</v>
      </c>
      <c r="F61" s="28" t="s">
        <v>57</v>
      </c>
      <c r="G61" s="28" t="s">
        <v>71</v>
      </c>
      <c r="H61" s="20">
        <v>14.0</v>
      </c>
      <c r="I61" s="20">
        <f>vlookup(H61,Superbowls!$A$2:$B$115,2,FALSE)</f>
        <v>2022</v>
      </c>
      <c r="J61" s="28" t="s">
        <v>36</v>
      </c>
    </row>
    <row r="62">
      <c r="A62" s="28" t="s">
        <v>504</v>
      </c>
      <c r="B62" s="20" t="s">
        <v>48</v>
      </c>
      <c r="C62" s="20" t="s">
        <v>512</v>
      </c>
      <c r="D62" s="28">
        <v>0.0</v>
      </c>
      <c r="E62" s="28">
        <v>5.0</v>
      </c>
      <c r="F62" s="28" t="s">
        <v>131</v>
      </c>
      <c r="G62" s="28" t="s">
        <v>35</v>
      </c>
      <c r="H62" s="20">
        <v>14.0</v>
      </c>
      <c r="I62" s="20">
        <f>vlookup(H62,Superbowls!$A$2:$B$115,2,FALSE)</f>
        <v>2022</v>
      </c>
      <c r="J62" s="28" t="s">
        <v>36</v>
      </c>
    </row>
    <row r="63">
      <c r="A63" s="28" t="s">
        <v>383</v>
      </c>
      <c r="B63" s="20" t="s">
        <v>424</v>
      </c>
      <c r="C63" s="20" t="s">
        <v>332</v>
      </c>
      <c r="D63" s="28">
        <v>50.0</v>
      </c>
      <c r="E63" s="28">
        <v>1.0</v>
      </c>
      <c r="F63" s="28" t="s">
        <v>70</v>
      </c>
      <c r="G63" s="28" t="s">
        <v>71</v>
      </c>
      <c r="H63" s="20">
        <v>15.0</v>
      </c>
      <c r="I63" s="20">
        <f>vlookup(H63,Superbowls!$A$2:$B$115,2,FALSE)</f>
        <v>2023</v>
      </c>
      <c r="J63" s="28" t="s">
        <v>36</v>
      </c>
    </row>
    <row r="64">
      <c r="A64" s="28" t="s">
        <v>383</v>
      </c>
      <c r="B64" s="20" t="s">
        <v>392</v>
      </c>
      <c r="C64" s="20" t="s">
        <v>296</v>
      </c>
      <c r="D64" s="28">
        <v>26.0</v>
      </c>
      <c r="E64" s="28">
        <v>0.0</v>
      </c>
      <c r="F64" s="28" t="s">
        <v>47</v>
      </c>
      <c r="G64" s="28" t="s">
        <v>42</v>
      </c>
      <c r="H64" s="20">
        <v>15.0</v>
      </c>
      <c r="I64" s="20">
        <f>vlookup(H64,Superbowls!$A$2:$B$115,2,FALSE)</f>
        <v>2023</v>
      </c>
      <c r="J64" s="28" t="s">
        <v>36</v>
      </c>
    </row>
    <row r="65">
      <c r="A65" s="28" t="s">
        <v>422</v>
      </c>
      <c r="B65" s="20" t="s">
        <v>479</v>
      </c>
      <c r="C65" s="20" t="s">
        <v>177</v>
      </c>
      <c r="D65" s="28">
        <v>4.0</v>
      </c>
      <c r="E65" s="28">
        <v>7.0</v>
      </c>
      <c r="F65" s="28" t="s">
        <v>112</v>
      </c>
      <c r="G65" s="28" t="s">
        <v>35</v>
      </c>
      <c r="H65" s="20">
        <v>15.0</v>
      </c>
      <c r="I65" s="20">
        <f>vlookup(H65,Superbowls!$A$2:$B$115,2,FALSE)</f>
        <v>2023</v>
      </c>
      <c r="J65" s="28" t="s">
        <v>36</v>
      </c>
    </row>
    <row r="66">
      <c r="A66" s="28" t="s">
        <v>504</v>
      </c>
      <c r="B66" s="20" t="s">
        <v>505</v>
      </c>
      <c r="C66" s="20" t="s">
        <v>506</v>
      </c>
      <c r="D66" s="28">
        <v>2.0</v>
      </c>
      <c r="E66" s="28">
        <v>3.0</v>
      </c>
      <c r="F66" s="28" t="s">
        <v>161</v>
      </c>
      <c r="G66" s="28" t="s">
        <v>30</v>
      </c>
      <c r="H66" s="20">
        <v>15.0</v>
      </c>
      <c r="I66" s="20">
        <f>vlookup(H66,Superbowls!$A$2:$B$115,2,FALSE)</f>
        <v>2023</v>
      </c>
      <c r="J66" s="28" t="s">
        <v>36</v>
      </c>
    </row>
    <row r="67">
      <c r="A67" s="28" t="s">
        <v>513</v>
      </c>
      <c r="B67" s="20" t="s">
        <v>514</v>
      </c>
      <c r="C67" s="20" t="s">
        <v>318</v>
      </c>
      <c r="D67" s="28">
        <v>35.0</v>
      </c>
      <c r="E67" s="28">
        <v>0.0</v>
      </c>
      <c r="F67" s="28" t="s">
        <v>161</v>
      </c>
      <c r="G67" s="28" t="s">
        <v>30</v>
      </c>
      <c r="H67" s="20">
        <v>15.0</v>
      </c>
      <c r="I67" s="20">
        <f>vlookup(H67,Superbowls!$A$2:$B$115,2,FALSE)</f>
        <v>2023</v>
      </c>
      <c r="J67" s="28" t="s">
        <v>36</v>
      </c>
    </row>
    <row r="68">
      <c r="A68" s="28" t="s">
        <v>472</v>
      </c>
      <c r="B68" s="20" t="s">
        <v>37</v>
      </c>
      <c r="C68" s="20" t="s">
        <v>419</v>
      </c>
      <c r="D68" s="28">
        <v>13.0</v>
      </c>
      <c r="E68" s="28">
        <v>0.0</v>
      </c>
      <c r="F68" s="28" t="s">
        <v>81</v>
      </c>
      <c r="G68" s="28" t="s">
        <v>30</v>
      </c>
      <c r="H68" s="20">
        <v>16.0</v>
      </c>
      <c r="I68" s="28">
        <v>2024.0</v>
      </c>
      <c r="J68" s="28" t="s">
        <v>36</v>
      </c>
    </row>
    <row r="69">
      <c r="A69" s="28" t="s">
        <v>516</v>
      </c>
      <c r="B69" s="20" t="s">
        <v>517</v>
      </c>
      <c r="C69" s="20" t="s">
        <v>518</v>
      </c>
      <c r="D69" s="28">
        <v>26.0</v>
      </c>
      <c r="E69" s="28">
        <v>0.0</v>
      </c>
      <c r="F69" s="28" t="s">
        <v>81</v>
      </c>
      <c r="G69" s="28" t="s">
        <v>30</v>
      </c>
      <c r="H69" s="20">
        <v>16.0</v>
      </c>
      <c r="I69" s="28">
        <v>2024.0</v>
      </c>
      <c r="J69" s="28" t="s">
        <v>36</v>
      </c>
    </row>
    <row r="70">
      <c r="A70" s="28" t="s">
        <v>504</v>
      </c>
      <c r="B70" s="20" t="s">
        <v>519</v>
      </c>
      <c r="C70" s="20" t="s">
        <v>278</v>
      </c>
      <c r="D70" s="28">
        <v>2.0</v>
      </c>
      <c r="E70" s="28">
        <v>5.0</v>
      </c>
      <c r="F70" s="28" t="s">
        <v>81</v>
      </c>
      <c r="G70" s="28" t="s">
        <v>30</v>
      </c>
      <c r="H70" s="20">
        <v>16.0</v>
      </c>
      <c r="I70" s="28">
        <v>2024.0</v>
      </c>
      <c r="J70" s="28" t="s">
        <v>36</v>
      </c>
    </row>
    <row r="71">
      <c r="A71" s="28" t="s">
        <v>520</v>
      </c>
      <c r="B71" s="20" t="s">
        <v>24</v>
      </c>
      <c r="C71" s="20" t="s">
        <v>521</v>
      </c>
      <c r="D71" s="28">
        <v>0.0</v>
      </c>
      <c r="E71" s="28">
        <v>7.0</v>
      </c>
      <c r="F71" s="28" t="s">
        <v>81</v>
      </c>
      <c r="G71" s="28" t="s">
        <v>30</v>
      </c>
      <c r="H71" s="20">
        <v>16.0</v>
      </c>
      <c r="I71" s="28">
        <v>2024.0</v>
      </c>
      <c r="J71" s="28" t="s">
        <v>36</v>
      </c>
    </row>
    <row r="72">
      <c r="A72" s="28" t="s">
        <v>507</v>
      </c>
      <c r="B72" s="20" t="s">
        <v>522</v>
      </c>
      <c r="C72" s="20" t="s">
        <v>523</v>
      </c>
      <c r="D72" s="28">
        <v>7.0</v>
      </c>
      <c r="E72" s="28">
        <v>1.0</v>
      </c>
      <c r="F72" s="28" t="s">
        <v>102</v>
      </c>
      <c r="G72" s="28" t="s">
        <v>63</v>
      </c>
      <c r="H72" s="20">
        <v>16.0</v>
      </c>
      <c r="I72" s="28">
        <v>2024.0</v>
      </c>
      <c r="J72" s="28" t="s">
        <v>36</v>
      </c>
    </row>
    <row r="73">
      <c r="A73" s="28" t="s">
        <v>484</v>
      </c>
      <c r="B73" s="20" t="s">
        <v>524</v>
      </c>
      <c r="C73" s="20" t="s">
        <v>525</v>
      </c>
      <c r="D73" s="28">
        <v>12.0</v>
      </c>
      <c r="E73" s="28">
        <v>0.0</v>
      </c>
      <c r="F73" s="28" t="s">
        <v>102</v>
      </c>
      <c r="G73" s="28" t="s">
        <v>63</v>
      </c>
      <c r="H73" s="20">
        <v>16.0</v>
      </c>
      <c r="I73" s="28">
        <v>2024.0</v>
      </c>
      <c r="J73" s="28" t="s">
        <v>36</v>
      </c>
    </row>
    <row r="74">
      <c r="A74" s="28" t="s">
        <v>498</v>
      </c>
      <c r="B74" s="20" t="s">
        <v>526</v>
      </c>
      <c r="C74" s="20" t="s">
        <v>358</v>
      </c>
      <c r="D74" s="28">
        <v>9.0</v>
      </c>
      <c r="E74" s="28">
        <v>1.0</v>
      </c>
      <c r="F74" s="28" t="s">
        <v>102</v>
      </c>
      <c r="G74" s="28" t="s">
        <v>63</v>
      </c>
      <c r="H74" s="20">
        <v>16.0</v>
      </c>
      <c r="I74" s="28">
        <v>2024.0</v>
      </c>
      <c r="J74" s="28" t="s">
        <v>36</v>
      </c>
    </row>
    <row r="75">
      <c r="A75" s="28" t="s">
        <v>504</v>
      </c>
      <c r="B75" s="20" t="s">
        <v>527</v>
      </c>
      <c r="C75" s="20" t="s">
        <v>528</v>
      </c>
      <c r="D75" s="28">
        <v>6.0</v>
      </c>
      <c r="E75" s="28">
        <v>1.0</v>
      </c>
      <c r="F75" s="28" t="s">
        <v>102</v>
      </c>
      <c r="G75" s="28" t="s">
        <v>63</v>
      </c>
      <c r="H75" s="20">
        <v>16.0</v>
      </c>
      <c r="I75" s="28">
        <v>2024.0</v>
      </c>
      <c r="J75" s="28" t="s">
        <v>36</v>
      </c>
    </row>
    <row r="76">
      <c r="A76" s="28" t="s">
        <v>520</v>
      </c>
      <c r="B76" s="20" t="s">
        <v>529</v>
      </c>
      <c r="C76" s="20" t="s">
        <v>530</v>
      </c>
      <c r="D76" s="28">
        <v>1.0</v>
      </c>
      <c r="E76" s="28">
        <v>3.0</v>
      </c>
      <c r="F76" s="28" t="s">
        <v>102</v>
      </c>
      <c r="G76" s="28" t="s">
        <v>63</v>
      </c>
      <c r="H76" s="20">
        <v>16.0</v>
      </c>
      <c r="I76" s="28">
        <v>2024.0</v>
      </c>
      <c r="J76" s="28" t="s">
        <v>36</v>
      </c>
    </row>
    <row r="77">
      <c r="A77" s="28" t="s">
        <v>441</v>
      </c>
      <c r="B77" s="20" t="s">
        <v>88</v>
      </c>
      <c r="C77" s="20" t="s">
        <v>190</v>
      </c>
      <c r="D77" s="28">
        <v>2.0</v>
      </c>
      <c r="E77" s="28">
        <v>4.0</v>
      </c>
      <c r="F77" s="28" t="s">
        <v>102</v>
      </c>
      <c r="G77" s="28" t="s">
        <v>63</v>
      </c>
      <c r="H77" s="20">
        <v>16.0</v>
      </c>
      <c r="I77" s="28">
        <v>2024.0</v>
      </c>
      <c r="J77" s="28" t="s">
        <v>36</v>
      </c>
    </row>
    <row r="78">
      <c r="A78" s="28" t="s">
        <v>484</v>
      </c>
      <c r="B78" s="20" t="s">
        <v>447</v>
      </c>
      <c r="C78" s="20" t="s">
        <v>448</v>
      </c>
      <c r="D78" s="28">
        <v>10.0</v>
      </c>
      <c r="E78" s="28">
        <v>0.0</v>
      </c>
      <c r="F78" s="28" t="s">
        <v>101</v>
      </c>
      <c r="G78" s="28" t="s">
        <v>35</v>
      </c>
      <c r="H78" s="20">
        <v>16.0</v>
      </c>
      <c r="I78" s="28">
        <v>2024.0</v>
      </c>
      <c r="J78" s="28" t="s">
        <v>36</v>
      </c>
    </row>
    <row r="79">
      <c r="A79" s="28" t="s">
        <v>498</v>
      </c>
      <c r="B79" s="20" t="s">
        <v>454</v>
      </c>
      <c r="C79" s="20" t="s">
        <v>455</v>
      </c>
      <c r="D79" s="28">
        <v>9.0</v>
      </c>
      <c r="E79" s="28">
        <v>1.0</v>
      </c>
      <c r="F79" s="28" t="s">
        <v>101</v>
      </c>
      <c r="G79" s="28" t="s">
        <v>35</v>
      </c>
      <c r="H79" s="20">
        <v>16.0</v>
      </c>
      <c r="I79" s="28">
        <v>2024.0</v>
      </c>
      <c r="J79" s="28" t="s">
        <v>36</v>
      </c>
    </row>
    <row r="80">
      <c r="A80" s="28" t="s">
        <v>441</v>
      </c>
      <c r="B80" s="20" t="s">
        <v>531</v>
      </c>
      <c r="C80" s="20" t="s">
        <v>461</v>
      </c>
      <c r="D80" s="28">
        <v>4.0</v>
      </c>
      <c r="E80" s="28">
        <v>3.0</v>
      </c>
      <c r="F80" s="28" t="s">
        <v>101</v>
      </c>
      <c r="G80" s="28" t="s">
        <v>35</v>
      </c>
      <c r="H80" s="20">
        <v>16.0</v>
      </c>
      <c r="I80" s="28">
        <v>2024.0</v>
      </c>
      <c r="J80" s="28" t="s">
        <v>36</v>
      </c>
    </row>
    <row r="81">
      <c r="A81" s="28" t="s">
        <v>513</v>
      </c>
      <c r="B81" s="20" t="s">
        <v>282</v>
      </c>
      <c r="C81" s="20" t="s">
        <v>416</v>
      </c>
      <c r="D81" s="28">
        <v>32.0</v>
      </c>
      <c r="E81" s="28">
        <v>1.0</v>
      </c>
      <c r="F81" s="28" t="s">
        <v>89</v>
      </c>
      <c r="G81" s="28" t="s">
        <v>175</v>
      </c>
      <c r="H81" s="20">
        <v>16.0</v>
      </c>
      <c r="I81" s="28">
        <v>2024.0</v>
      </c>
      <c r="J81" s="28" t="s">
        <v>36</v>
      </c>
    </row>
    <row r="82">
      <c r="A82" s="28" t="s">
        <v>498</v>
      </c>
      <c r="B82" s="20" t="s">
        <v>417</v>
      </c>
      <c r="C82" s="20" t="s">
        <v>82</v>
      </c>
      <c r="D82" s="28">
        <v>11.0</v>
      </c>
      <c r="E82" s="28">
        <v>0.0</v>
      </c>
      <c r="F82" s="28" t="s">
        <v>89</v>
      </c>
      <c r="G82" s="28" t="s">
        <v>175</v>
      </c>
      <c r="H82" s="20">
        <v>16.0</v>
      </c>
      <c r="I82" s="28">
        <v>2024.0</v>
      </c>
      <c r="J82" s="28" t="s">
        <v>36</v>
      </c>
    </row>
    <row r="83">
      <c r="A83" s="28" t="s">
        <v>422</v>
      </c>
      <c r="B83" s="20" t="s">
        <v>532</v>
      </c>
      <c r="C83" s="20" t="s">
        <v>294</v>
      </c>
      <c r="D83" s="28">
        <v>0.0</v>
      </c>
      <c r="E83" s="28">
        <v>5.0</v>
      </c>
      <c r="F83" s="28" t="s">
        <v>145</v>
      </c>
      <c r="G83" s="28" t="s">
        <v>42</v>
      </c>
      <c r="H83" s="20">
        <v>16.0</v>
      </c>
      <c r="I83" s="28">
        <v>2024.0</v>
      </c>
      <c r="J83" s="28" t="s">
        <v>36</v>
      </c>
    </row>
    <row r="84">
      <c r="A84" s="28" t="s">
        <v>472</v>
      </c>
      <c r="B84" s="20" t="s">
        <v>37</v>
      </c>
      <c r="C84" s="20" t="s">
        <v>419</v>
      </c>
      <c r="D84" s="28">
        <v>12.0</v>
      </c>
      <c r="E84" s="28">
        <v>1.0</v>
      </c>
      <c r="F84" s="28" t="s">
        <v>81</v>
      </c>
      <c r="G84" s="28" t="s">
        <v>187</v>
      </c>
      <c r="H84" s="20">
        <v>17.0</v>
      </c>
      <c r="I84" s="28">
        <v>2025.0</v>
      </c>
      <c r="J84" s="28" t="s">
        <v>36</v>
      </c>
    </row>
    <row r="85">
      <c r="A85" s="28" t="s">
        <v>498</v>
      </c>
      <c r="B85" s="20" t="s">
        <v>468</v>
      </c>
      <c r="C85" s="20" t="s">
        <v>469</v>
      </c>
      <c r="D85" s="28">
        <v>10.0</v>
      </c>
      <c r="E85" s="28">
        <v>0.0</v>
      </c>
      <c r="F85" s="28" t="s">
        <v>81</v>
      </c>
      <c r="G85" s="28" t="s">
        <v>187</v>
      </c>
      <c r="H85" s="20">
        <v>17.0</v>
      </c>
      <c r="I85" s="28">
        <v>2025.0</v>
      </c>
      <c r="J85" s="28" t="s">
        <v>36</v>
      </c>
    </row>
    <row r="86">
      <c r="A86" s="28" t="s">
        <v>498</v>
      </c>
      <c r="B86" s="20" t="s">
        <v>384</v>
      </c>
      <c r="C86" s="20" t="s">
        <v>167</v>
      </c>
      <c r="D86" s="28">
        <v>22.0</v>
      </c>
      <c r="E86" s="28">
        <v>2.0</v>
      </c>
      <c r="F86" s="28" t="s">
        <v>29</v>
      </c>
      <c r="G86" s="28" t="s">
        <v>35</v>
      </c>
      <c r="H86" s="20">
        <v>17.0</v>
      </c>
      <c r="I86" s="28">
        <v>2025.0</v>
      </c>
      <c r="J86" s="28" t="s">
        <v>36</v>
      </c>
    </row>
    <row r="87">
      <c r="A87" s="28" t="s">
        <v>472</v>
      </c>
      <c r="B87" s="20" t="s">
        <v>37</v>
      </c>
      <c r="C87" s="20" t="s">
        <v>419</v>
      </c>
      <c r="D87" s="28">
        <v>21.0</v>
      </c>
      <c r="E87" s="28">
        <v>0.0</v>
      </c>
      <c r="F87" s="28" t="s">
        <v>81</v>
      </c>
      <c r="G87" s="28" t="s">
        <v>187</v>
      </c>
      <c r="H87" s="20">
        <v>18.0</v>
      </c>
      <c r="I87" s="28">
        <v>2025.0</v>
      </c>
      <c r="J87" s="28" t="s">
        <v>36</v>
      </c>
    </row>
    <row r="88">
      <c r="A88" s="28" t="s">
        <v>498</v>
      </c>
      <c r="B88" s="20" t="s">
        <v>468</v>
      </c>
      <c r="C88" s="20" t="s">
        <v>469</v>
      </c>
      <c r="D88" s="28">
        <v>12.0</v>
      </c>
      <c r="E88" s="28">
        <v>0.0</v>
      </c>
      <c r="F88" s="28" t="s">
        <v>81</v>
      </c>
      <c r="G88" s="28" t="s">
        <v>187</v>
      </c>
      <c r="H88" s="20">
        <v>18.0</v>
      </c>
      <c r="I88" s="28">
        <v>2025.0</v>
      </c>
      <c r="J88" s="28" t="s">
        <v>36</v>
      </c>
    </row>
    <row r="89">
      <c r="A89" s="28" t="s">
        <v>498</v>
      </c>
      <c r="B89" s="20" t="s">
        <v>533</v>
      </c>
      <c r="C89" s="20" t="s">
        <v>534</v>
      </c>
      <c r="D89" s="28">
        <v>10.0</v>
      </c>
      <c r="E89" s="28">
        <v>0.0</v>
      </c>
      <c r="F89" s="28" t="s">
        <v>60</v>
      </c>
      <c r="G89" s="28" t="s">
        <v>35</v>
      </c>
      <c r="H89" s="20">
        <v>18.0</v>
      </c>
      <c r="I89" s="28">
        <v>2025.0</v>
      </c>
      <c r="J89" s="28" t="s">
        <v>36</v>
      </c>
    </row>
    <row r="90">
      <c r="A90" s="28" t="s">
        <v>498</v>
      </c>
      <c r="B90" s="20" t="s">
        <v>535</v>
      </c>
      <c r="C90" s="20" t="s">
        <v>130</v>
      </c>
      <c r="D90" s="28">
        <v>13.0</v>
      </c>
      <c r="E90" s="28">
        <v>0.0</v>
      </c>
      <c r="F90" s="28" t="s">
        <v>47</v>
      </c>
      <c r="G90" s="28" t="s">
        <v>35</v>
      </c>
      <c r="H90" s="20">
        <v>19.0</v>
      </c>
      <c r="I90" s="28">
        <v>2025.0</v>
      </c>
      <c r="J90" s="28" t="s">
        <v>36</v>
      </c>
    </row>
    <row r="91">
      <c r="A91" s="28" t="s">
        <v>513</v>
      </c>
      <c r="B91" s="20" t="s">
        <v>392</v>
      </c>
      <c r="C91" s="20" t="s">
        <v>296</v>
      </c>
      <c r="D91" s="28">
        <v>11.0</v>
      </c>
      <c r="E91" s="28">
        <v>0.0</v>
      </c>
      <c r="F91" s="28" t="s">
        <v>47</v>
      </c>
      <c r="G91" s="28" t="s">
        <v>35</v>
      </c>
      <c r="H91" s="20">
        <v>19.0</v>
      </c>
      <c r="I91" s="28">
        <v>2025.0</v>
      </c>
      <c r="J91" s="28" t="s">
        <v>36</v>
      </c>
    </row>
    <row r="92">
      <c r="A92" s="28" t="s">
        <v>472</v>
      </c>
      <c r="B92" s="20" t="s">
        <v>37</v>
      </c>
      <c r="C92" s="20" t="s">
        <v>419</v>
      </c>
      <c r="D92" s="28">
        <v>10.0</v>
      </c>
      <c r="E92" s="28">
        <v>0.0</v>
      </c>
      <c r="F92" s="28" t="s">
        <v>81</v>
      </c>
      <c r="G92" s="28" t="s">
        <v>187</v>
      </c>
      <c r="H92" s="20">
        <v>19.0</v>
      </c>
      <c r="I92" s="28">
        <v>2025.0</v>
      </c>
      <c r="J92" s="28" t="s">
        <v>36</v>
      </c>
    </row>
    <row r="93">
      <c r="A93" s="28" t="s">
        <v>498</v>
      </c>
      <c r="B93" s="20" t="s">
        <v>468</v>
      </c>
      <c r="C93" s="20" t="s">
        <v>469</v>
      </c>
      <c r="D93" s="28">
        <v>10.0</v>
      </c>
      <c r="E93" s="28">
        <v>0.0</v>
      </c>
      <c r="F93" s="28" t="s">
        <v>81</v>
      </c>
      <c r="G93" s="28" t="s">
        <v>187</v>
      </c>
      <c r="H93" s="20">
        <v>19.0</v>
      </c>
      <c r="I93" s="28">
        <v>2025.0</v>
      </c>
      <c r="J93" s="28" t="s">
        <v>36</v>
      </c>
    </row>
    <row r="94">
      <c r="A94" s="28" t="s">
        <v>513</v>
      </c>
      <c r="B94" s="20" t="s">
        <v>392</v>
      </c>
      <c r="C94" s="20" t="s">
        <v>332</v>
      </c>
      <c r="D94" s="28">
        <v>64.0</v>
      </c>
      <c r="E94" s="28">
        <v>0.0</v>
      </c>
      <c r="F94" s="28" t="s">
        <v>47</v>
      </c>
      <c r="G94" s="28" t="s">
        <v>30</v>
      </c>
      <c r="H94" s="20">
        <v>20.0</v>
      </c>
      <c r="I94" s="28">
        <v>2025.0</v>
      </c>
      <c r="J94" s="28" t="s">
        <v>36</v>
      </c>
    </row>
    <row r="95">
      <c r="A95" s="28" t="s">
        <v>498</v>
      </c>
      <c r="B95" s="20" t="s">
        <v>535</v>
      </c>
      <c r="C95" s="20" t="s">
        <v>130</v>
      </c>
      <c r="D95" s="28">
        <v>12.0</v>
      </c>
      <c r="E95" s="28">
        <v>0.0</v>
      </c>
      <c r="F95" s="28" t="s">
        <v>47</v>
      </c>
      <c r="G95" s="28" t="s">
        <v>30</v>
      </c>
      <c r="H95" s="20">
        <v>20.0</v>
      </c>
      <c r="I95" s="28">
        <v>2025.0</v>
      </c>
      <c r="J95" s="28" t="s">
        <v>36</v>
      </c>
    </row>
    <row r="96">
      <c r="A96" s="28" t="s">
        <v>520</v>
      </c>
      <c r="B96" s="20" t="s">
        <v>436</v>
      </c>
      <c r="C96" s="20" t="s">
        <v>523</v>
      </c>
      <c r="D96" s="28">
        <v>1.0</v>
      </c>
      <c r="E96" s="28">
        <v>3.0</v>
      </c>
      <c r="F96" s="28" t="s">
        <v>47</v>
      </c>
      <c r="G96" s="28" t="s">
        <v>30</v>
      </c>
      <c r="H96" s="20">
        <v>20.0</v>
      </c>
      <c r="I96" s="28">
        <v>2025.0</v>
      </c>
      <c r="J96" s="28" t="s">
        <v>36</v>
      </c>
    </row>
    <row r="97">
      <c r="A97" s="28" t="s">
        <v>472</v>
      </c>
      <c r="B97" s="20" t="s">
        <v>536</v>
      </c>
      <c r="C97" s="20" t="s">
        <v>537</v>
      </c>
      <c r="D97" s="28">
        <v>9.0</v>
      </c>
      <c r="E97" s="28">
        <v>0.0</v>
      </c>
      <c r="F97" s="28" t="s">
        <v>107</v>
      </c>
      <c r="G97" s="28" t="s">
        <v>205</v>
      </c>
      <c r="H97" s="20">
        <v>20.0</v>
      </c>
      <c r="I97" s="28">
        <v>2025.0</v>
      </c>
      <c r="J97" s="28" t="s">
        <v>36</v>
      </c>
    </row>
    <row r="98">
      <c r="A98" s="28" t="s">
        <v>498</v>
      </c>
      <c r="B98" s="20" t="s">
        <v>477</v>
      </c>
      <c r="C98" s="20" t="s">
        <v>291</v>
      </c>
      <c r="D98" s="28">
        <v>11.0</v>
      </c>
      <c r="E98" s="28">
        <v>1.0</v>
      </c>
      <c r="F98" s="28" t="s">
        <v>107</v>
      </c>
      <c r="G98" s="28" t="s">
        <v>205</v>
      </c>
      <c r="H98" s="20">
        <v>20.0</v>
      </c>
      <c r="I98" s="28">
        <v>2025.0</v>
      </c>
      <c r="J98" s="28" t="s">
        <v>36</v>
      </c>
    </row>
    <row r="99">
      <c r="A99" s="28" t="s">
        <v>520</v>
      </c>
      <c r="B99" s="20" t="s">
        <v>445</v>
      </c>
      <c r="C99" s="20" t="s">
        <v>446</v>
      </c>
      <c r="D99" s="28">
        <v>0.0</v>
      </c>
      <c r="E99" s="28">
        <v>2.0</v>
      </c>
      <c r="F99" s="28" t="s">
        <v>107</v>
      </c>
      <c r="G99" s="28" t="s">
        <v>205</v>
      </c>
      <c r="H99" s="20">
        <v>20.0</v>
      </c>
      <c r="I99" s="28">
        <v>2025.0</v>
      </c>
      <c r="J99" s="28" t="s">
        <v>36</v>
      </c>
    </row>
    <row r="100">
      <c r="A100" s="28" t="s">
        <v>472</v>
      </c>
      <c r="B100" s="20" t="s">
        <v>539</v>
      </c>
      <c r="C100" s="20" t="s">
        <v>540</v>
      </c>
      <c r="D100" s="28">
        <v>6.0</v>
      </c>
      <c r="E100" s="28">
        <v>0.0</v>
      </c>
      <c r="F100" s="28" t="s">
        <v>62</v>
      </c>
      <c r="G100" s="28" t="s">
        <v>205</v>
      </c>
      <c r="H100" s="20">
        <v>21.0</v>
      </c>
      <c r="I100" s="28">
        <v>2026.0</v>
      </c>
      <c r="J100" s="28" t="s">
        <v>36</v>
      </c>
    </row>
    <row r="101">
      <c r="A101" s="28" t="s">
        <v>541</v>
      </c>
      <c r="B101" s="20" t="s">
        <v>542</v>
      </c>
      <c r="C101" s="20" t="s">
        <v>332</v>
      </c>
      <c r="D101" s="28">
        <v>6.0</v>
      </c>
      <c r="E101" s="28">
        <v>0.0</v>
      </c>
      <c r="F101" s="28" t="s">
        <v>62</v>
      </c>
      <c r="G101" s="28" t="s">
        <v>205</v>
      </c>
      <c r="H101" s="20">
        <v>21.0</v>
      </c>
      <c r="I101" s="28">
        <v>2026.0</v>
      </c>
      <c r="J101" s="28" t="s">
        <v>36</v>
      </c>
    </row>
    <row r="102">
      <c r="A102" s="28" t="s">
        <v>507</v>
      </c>
      <c r="B102" s="20" t="s">
        <v>414</v>
      </c>
      <c r="C102" s="20" t="s">
        <v>128</v>
      </c>
      <c r="D102" s="28">
        <v>8.0</v>
      </c>
      <c r="E102" s="28">
        <v>0.0</v>
      </c>
      <c r="F102" s="28" t="s">
        <v>62</v>
      </c>
      <c r="G102" s="28" t="s">
        <v>205</v>
      </c>
      <c r="H102" s="20">
        <v>21.0</v>
      </c>
      <c r="I102" s="28">
        <v>2026.0</v>
      </c>
      <c r="J102" s="28" t="s">
        <v>36</v>
      </c>
    </row>
    <row r="103">
      <c r="A103" s="28" t="s">
        <v>513</v>
      </c>
      <c r="B103" s="20" t="s">
        <v>543</v>
      </c>
      <c r="C103" s="20" t="s">
        <v>440</v>
      </c>
      <c r="D103" s="28">
        <v>6.0</v>
      </c>
      <c r="E103" s="28">
        <v>0.0</v>
      </c>
      <c r="F103" s="28" t="s">
        <v>62</v>
      </c>
      <c r="G103" s="28" t="s">
        <v>205</v>
      </c>
      <c r="H103" s="20">
        <v>21.0</v>
      </c>
      <c r="I103" s="28">
        <v>2026.0</v>
      </c>
      <c r="J103" s="28" t="s">
        <v>36</v>
      </c>
    </row>
    <row r="104">
      <c r="A104" s="28" t="s">
        <v>484</v>
      </c>
      <c r="B104" s="20" t="s">
        <v>293</v>
      </c>
      <c r="C104" s="20" t="s">
        <v>462</v>
      </c>
      <c r="D104" s="28">
        <v>12.0</v>
      </c>
      <c r="E104" s="28">
        <v>0.0</v>
      </c>
      <c r="F104" s="28" t="s">
        <v>62</v>
      </c>
      <c r="G104" s="28" t="s">
        <v>205</v>
      </c>
      <c r="H104" s="20">
        <v>21.0</v>
      </c>
      <c r="I104" s="28">
        <v>2026.0</v>
      </c>
      <c r="J104" s="28" t="s">
        <v>36</v>
      </c>
    </row>
    <row r="105">
      <c r="A105" s="28" t="s">
        <v>498</v>
      </c>
      <c r="B105" s="20" t="s">
        <v>544</v>
      </c>
      <c r="C105" s="20" t="s">
        <v>545</v>
      </c>
      <c r="D105" s="28">
        <v>10.0</v>
      </c>
      <c r="E105" s="28">
        <v>0.0</v>
      </c>
      <c r="F105" s="28" t="s">
        <v>62</v>
      </c>
      <c r="G105" s="28" t="s">
        <v>205</v>
      </c>
      <c r="H105" s="20">
        <v>21.0</v>
      </c>
      <c r="I105" s="28">
        <v>2026.0</v>
      </c>
      <c r="J105" s="28" t="s">
        <v>36</v>
      </c>
    </row>
    <row r="106">
      <c r="A106" s="28" t="s">
        <v>516</v>
      </c>
      <c r="B106" s="20" t="s">
        <v>546</v>
      </c>
      <c r="C106" s="20" t="s">
        <v>547</v>
      </c>
      <c r="D106" s="28">
        <v>3.0</v>
      </c>
      <c r="E106" s="28">
        <v>0.0</v>
      </c>
      <c r="F106" s="28" t="s">
        <v>62</v>
      </c>
      <c r="G106" s="28" t="s">
        <v>205</v>
      </c>
      <c r="H106" s="20">
        <v>21.0</v>
      </c>
      <c r="I106" s="28">
        <v>2026.0</v>
      </c>
      <c r="J106" s="28" t="s">
        <v>36</v>
      </c>
    </row>
    <row r="107">
      <c r="A107" s="28" t="s">
        <v>520</v>
      </c>
      <c r="B107" s="20" t="s">
        <v>37</v>
      </c>
      <c r="C107" s="20" t="s">
        <v>548</v>
      </c>
      <c r="D107" s="28">
        <v>0.0</v>
      </c>
      <c r="E107" s="28">
        <v>4.0</v>
      </c>
      <c r="F107" s="28" t="s">
        <v>62</v>
      </c>
      <c r="G107" s="28" t="s">
        <v>205</v>
      </c>
      <c r="H107" s="20">
        <v>21.0</v>
      </c>
      <c r="I107" s="28">
        <v>2026.0</v>
      </c>
      <c r="J107" s="28" t="s">
        <v>36</v>
      </c>
    </row>
    <row r="108">
      <c r="A108" s="28" t="s">
        <v>441</v>
      </c>
      <c r="B108" s="20" t="s">
        <v>549</v>
      </c>
      <c r="C108" s="20" t="s">
        <v>550</v>
      </c>
      <c r="D108" s="28">
        <v>1.0</v>
      </c>
      <c r="E108" s="28">
        <v>2.0</v>
      </c>
      <c r="F108" s="28" t="s">
        <v>62</v>
      </c>
      <c r="G108" s="28" t="s">
        <v>205</v>
      </c>
      <c r="H108" s="20">
        <v>21.0</v>
      </c>
      <c r="I108" s="28">
        <v>2026.0</v>
      </c>
      <c r="J108" s="28" t="s">
        <v>36</v>
      </c>
    </row>
    <row r="109">
      <c r="A109" s="28" t="s">
        <v>513</v>
      </c>
      <c r="B109" s="20" t="s">
        <v>552</v>
      </c>
      <c r="C109" s="20" t="s">
        <v>553</v>
      </c>
      <c r="D109" s="28">
        <v>26.0</v>
      </c>
      <c r="E109" s="28">
        <v>0.0</v>
      </c>
      <c r="F109" s="28" t="s">
        <v>121</v>
      </c>
      <c r="G109" s="28" t="s">
        <v>30</v>
      </c>
      <c r="H109" s="20">
        <v>21.0</v>
      </c>
      <c r="I109" s="28">
        <v>2026.0</v>
      </c>
      <c r="J109" s="28" t="s">
        <v>36</v>
      </c>
    </row>
    <row r="110">
      <c r="A110" s="28" t="s">
        <v>484</v>
      </c>
      <c r="B110" s="20" t="s">
        <v>108</v>
      </c>
      <c r="C110" s="20" t="s">
        <v>296</v>
      </c>
      <c r="D110" s="28">
        <v>8.0</v>
      </c>
      <c r="E110" s="28">
        <v>0.0</v>
      </c>
      <c r="F110" s="28" t="s">
        <v>121</v>
      </c>
      <c r="G110" s="28" t="s">
        <v>30</v>
      </c>
      <c r="H110" s="20">
        <v>21.0</v>
      </c>
      <c r="I110" s="28">
        <v>2026.0</v>
      </c>
      <c r="J110" s="28" t="s">
        <v>36</v>
      </c>
    </row>
    <row r="111">
      <c r="A111" s="28" t="s">
        <v>498</v>
      </c>
      <c r="B111" s="20" t="s">
        <v>500</v>
      </c>
      <c r="C111" s="20" t="s">
        <v>100</v>
      </c>
      <c r="D111" s="28">
        <v>14.0</v>
      </c>
      <c r="E111" s="28">
        <v>0.0</v>
      </c>
      <c r="F111" s="28" t="s">
        <v>121</v>
      </c>
      <c r="G111" s="28" t="s">
        <v>30</v>
      </c>
      <c r="H111" s="20">
        <v>21.0</v>
      </c>
      <c r="I111" s="28">
        <v>2026.0</v>
      </c>
      <c r="J111" s="28" t="s">
        <v>36</v>
      </c>
    </row>
    <row r="112">
      <c r="A112" s="28" t="s">
        <v>520</v>
      </c>
      <c r="B112" s="20" t="s">
        <v>554</v>
      </c>
      <c r="C112" s="20" t="s">
        <v>555</v>
      </c>
      <c r="D112" s="28">
        <v>0.0</v>
      </c>
      <c r="E112" s="28">
        <v>5.0</v>
      </c>
      <c r="F112" s="28" t="s">
        <v>121</v>
      </c>
      <c r="G112" s="28" t="s">
        <v>30</v>
      </c>
      <c r="H112" s="20">
        <v>21.0</v>
      </c>
      <c r="I112" s="28">
        <v>2026.0</v>
      </c>
      <c r="J112" s="28" t="s">
        <v>36</v>
      </c>
    </row>
    <row r="113">
      <c r="A113" s="28"/>
      <c r="B113" s="20"/>
      <c r="C113" s="20"/>
      <c r="D113" s="28"/>
      <c r="E113" s="28"/>
      <c r="F113" s="28"/>
      <c r="G113" s="28"/>
      <c r="H113" s="20"/>
      <c r="I113" s="28"/>
      <c r="J113" s="28"/>
    </row>
    <row r="114">
      <c r="A114" s="28"/>
      <c r="B114" s="20"/>
      <c r="C114" s="20"/>
      <c r="D114" s="28"/>
      <c r="E114" s="28"/>
      <c r="F114" s="28"/>
      <c r="G114" s="28"/>
      <c r="H114" s="20"/>
      <c r="I114" s="28"/>
      <c r="J114" s="28"/>
    </row>
    <row r="115">
      <c r="A115" s="28"/>
      <c r="B115" s="20"/>
      <c r="C115" s="20"/>
      <c r="D115" s="28"/>
      <c r="E115" s="28"/>
      <c r="F115" s="28"/>
      <c r="G115" s="28"/>
      <c r="H115" s="20"/>
      <c r="I115" s="28"/>
      <c r="J115" s="28"/>
    </row>
    <row r="116">
      <c r="A116" s="28"/>
      <c r="B116" s="20"/>
      <c r="C116" s="20"/>
      <c r="D116" s="28"/>
      <c r="E116" s="28"/>
      <c r="F116" s="28"/>
      <c r="G116" s="28"/>
      <c r="H116" s="20"/>
      <c r="I116" s="28"/>
      <c r="J116" s="28"/>
    </row>
    <row r="117">
      <c r="A117" s="28"/>
      <c r="B117" s="20"/>
      <c r="C117" s="20"/>
      <c r="D117" s="28"/>
      <c r="E117" s="28"/>
      <c r="F117" s="28"/>
      <c r="G117" s="28"/>
      <c r="H117" s="20"/>
      <c r="I117" s="28"/>
      <c r="J117" s="28"/>
    </row>
    <row r="118">
      <c r="A118" s="28"/>
      <c r="B118" s="20"/>
      <c r="C118" s="20"/>
      <c r="D118" s="28"/>
      <c r="E118" s="28"/>
      <c r="F118" s="28"/>
      <c r="G118" s="28"/>
      <c r="H118" s="20"/>
      <c r="I118" s="28"/>
      <c r="J118" s="28"/>
    </row>
    <row r="119">
      <c r="A119" s="28"/>
      <c r="B119" s="20"/>
      <c r="C119" s="20"/>
      <c r="D119" s="28"/>
      <c r="E119" s="28"/>
      <c r="F119" s="28"/>
      <c r="G119" s="28"/>
      <c r="H119" s="20"/>
      <c r="I119" s="28"/>
      <c r="J119" s="28"/>
    </row>
    <row r="120">
      <c r="A120" s="28"/>
      <c r="B120" s="20"/>
      <c r="C120" s="20"/>
      <c r="D120" s="28"/>
      <c r="E120" s="28"/>
      <c r="F120" s="28"/>
      <c r="G120" s="28"/>
      <c r="H120" s="20"/>
      <c r="I120" s="28"/>
      <c r="J120" s="28"/>
    </row>
    <row r="121">
      <c r="A121" s="28"/>
      <c r="B121" s="20"/>
      <c r="C121" s="20"/>
      <c r="D121" s="28"/>
      <c r="E121" s="28"/>
      <c r="F121" s="28"/>
      <c r="G121" s="28"/>
      <c r="H121" s="20"/>
      <c r="I121" s="28"/>
      <c r="J121" s="28"/>
    </row>
    <row r="122">
      <c r="A122" s="28"/>
      <c r="B122" s="20"/>
      <c r="C122" s="20"/>
      <c r="D122" s="28"/>
      <c r="E122" s="28"/>
      <c r="F122" s="28"/>
      <c r="G122" s="28"/>
      <c r="H122" s="20"/>
      <c r="I122" s="28"/>
      <c r="J122" s="28"/>
    </row>
    <row r="123">
      <c r="A123" s="28"/>
      <c r="B123" s="20"/>
      <c r="C123" s="20"/>
      <c r="D123" s="28"/>
      <c r="E123" s="28"/>
      <c r="F123" s="28"/>
      <c r="G123" s="28"/>
      <c r="H123" s="20"/>
      <c r="I123" s="28"/>
      <c r="J123" s="28"/>
    </row>
    <row r="124">
      <c r="A124" s="28"/>
      <c r="B124" s="20"/>
      <c r="C124" s="20"/>
      <c r="D124" s="28"/>
      <c r="E124" s="28"/>
      <c r="F124" s="28"/>
      <c r="G124" s="28"/>
      <c r="H124" s="20"/>
      <c r="I124" s="28"/>
      <c r="J124" s="28"/>
    </row>
    <row r="125">
      <c r="A125" s="28"/>
      <c r="B125" s="20"/>
      <c r="C125" s="20"/>
      <c r="D125" s="28"/>
      <c r="E125" s="28"/>
      <c r="F125" s="28"/>
      <c r="G125" s="28"/>
      <c r="H125" s="20"/>
      <c r="I125" s="28"/>
      <c r="J125" s="28"/>
    </row>
    <row r="126">
      <c r="A126" s="28"/>
      <c r="B126" s="20"/>
      <c r="C126" s="20"/>
      <c r="D126" s="28"/>
      <c r="E126" s="28"/>
      <c r="F126" s="28"/>
      <c r="G126" s="28"/>
      <c r="H126" s="20"/>
      <c r="I126" s="28"/>
      <c r="J126" s="28"/>
    </row>
    <row r="127">
      <c r="A127" s="28"/>
      <c r="B127" s="20"/>
      <c r="C127" s="20"/>
      <c r="D127" s="28"/>
      <c r="E127" s="28"/>
      <c r="F127" s="28"/>
      <c r="G127" s="28"/>
      <c r="H127" s="20"/>
      <c r="I127" s="28"/>
      <c r="J127" s="28"/>
    </row>
    <row r="128">
      <c r="A128" s="28"/>
      <c r="B128" s="20"/>
      <c r="C128" s="20"/>
      <c r="D128" s="28"/>
      <c r="E128" s="28"/>
      <c r="F128" s="28"/>
      <c r="G128" s="28"/>
      <c r="H128" s="20"/>
      <c r="I128" s="28"/>
      <c r="J128" s="28"/>
    </row>
    <row r="129">
      <c r="A129" s="28"/>
      <c r="B129" s="20"/>
      <c r="C129" s="20"/>
      <c r="D129" s="28"/>
      <c r="E129" s="28"/>
      <c r="F129" s="28"/>
      <c r="G129" s="28"/>
      <c r="H129" s="20"/>
      <c r="I129" s="28"/>
      <c r="J129" s="28"/>
    </row>
    <row r="130">
      <c r="A130" s="28"/>
      <c r="B130" s="20"/>
      <c r="C130" s="20"/>
      <c r="D130" s="28"/>
      <c r="E130" s="28"/>
      <c r="F130" s="28"/>
      <c r="G130" s="28"/>
      <c r="H130" s="20"/>
      <c r="I130" s="28"/>
      <c r="J130" s="28"/>
    </row>
    <row r="131">
      <c r="A131" s="28"/>
      <c r="B131" s="20"/>
      <c r="C131" s="20"/>
      <c r="D131" s="28"/>
      <c r="E131" s="28"/>
      <c r="F131" s="28"/>
      <c r="G131" s="28"/>
      <c r="H131" s="20"/>
      <c r="I131" s="28"/>
      <c r="J131" s="28"/>
    </row>
    <row r="132">
      <c r="A132" s="28"/>
      <c r="B132" s="20"/>
      <c r="C132" s="20"/>
      <c r="D132" s="28"/>
      <c r="E132" s="28"/>
      <c r="F132" s="28"/>
      <c r="G132" s="28"/>
      <c r="H132" s="20"/>
      <c r="I132" s="28"/>
      <c r="J132" s="28"/>
    </row>
    <row r="133">
      <c r="A133" s="28"/>
      <c r="B133" s="20"/>
      <c r="C133" s="20"/>
      <c r="D133" s="28"/>
      <c r="E133" s="28"/>
      <c r="F133" s="28"/>
      <c r="G133" s="28"/>
      <c r="H133" s="20"/>
      <c r="I133" s="28"/>
      <c r="J133" s="28"/>
    </row>
    <row r="134">
      <c r="A134" s="28"/>
      <c r="B134" s="20"/>
      <c r="C134" s="20"/>
      <c r="D134" s="28"/>
      <c r="E134" s="28"/>
      <c r="F134" s="28"/>
      <c r="G134" s="28"/>
      <c r="H134" s="20"/>
      <c r="I134" s="28"/>
      <c r="J134" s="28"/>
    </row>
    <row r="135">
      <c r="A135" s="28"/>
      <c r="B135" s="20"/>
      <c r="C135" s="20"/>
      <c r="D135" s="28"/>
      <c r="E135" s="28"/>
      <c r="F135" s="28"/>
      <c r="G135" s="28"/>
      <c r="H135" s="20"/>
      <c r="I135" s="28"/>
      <c r="J135" s="28"/>
    </row>
    <row r="136">
      <c r="A136" s="28"/>
      <c r="B136" s="20"/>
      <c r="C136" s="20"/>
      <c r="D136" s="28"/>
      <c r="E136" s="28"/>
      <c r="F136" s="28"/>
      <c r="G136" s="28"/>
      <c r="H136" s="20"/>
      <c r="I136" s="28"/>
      <c r="J136" s="28"/>
    </row>
    <row r="137">
      <c r="A137" s="28"/>
      <c r="B137" s="20"/>
      <c r="C137" s="20"/>
      <c r="D137" s="28"/>
      <c r="E137" s="28"/>
      <c r="F137" s="28"/>
      <c r="G137" s="28"/>
      <c r="H137" s="20"/>
      <c r="I137" s="28"/>
      <c r="J137" s="28"/>
    </row>
    <row r="138">
      <c r="A138" s="28"/>
      <c r="B138" s="20"/>
      <c r="C138" s="20"/>
      <c r="D138" s="28"/>
      <c r="E138" s="28"/>
      <c r="F138" s="28"/>
      <c r="G138" s="28"/>
      <c r="H138" s="20"/>
      <c r="I138" s="28"/>
      <c r="J138" s="28"/>
    </row>
    <row r="139">
      <c r="A139" s="28"/>
      <c r="B139" s="20"/>
      <c r="C139" s="20"/>
      <c r="D139" s="28"/>
      <c r="E139" s="28"/>
      <c r="F139" s="28"/>
      <c r="G139" s="28"/>
      <c r="H139" s="20"/>
      <c r="I139" s="28"/>
      <c r="J139" s="28"/>
    </row>
    <row r="140">
      <c r="A140" s="28"/>
      <c r="B140" s="20"/>
      <c r="C140" s="20"/>
      <c r="D140" s="28"/>
      <c r="E140" s="28"/>
      <c r="F140" s="28"/>
      <c r="G140" s="28"/>
      <c r="H140" s="20"/>
      <c r="I140" s="28"/>
      <c r="J140" s="28"/>
    </row>
    <row r="141">
      <c r="A141" s="28"/>
      <c r="B141" s="20"/>
      <c r="C141" s="20"/>
      <c r="D141" s="28"/>
      <c r="E141" s="28"/>
      <c r="F141" s="28"/>
      <c r="G141" s="28"/>
      <c r="H141" s="20"/>
      <c r="I141" s="28"/>
      <c r="J141" s="28"/>
    </row>
    <row r="142">
      <c r="A142" s="28"/>
      <c r="B142" s="20"/>
      <c r="C142" s="20"/>
      <c r="D142" s="28"/>
      <c r="E142" s="28"/>
      <c r="F142" s="28"/>
      <c r="G142" s="28"/>
      <c r="H142" s="20"/>
      <c r="I142" s="28"/>
      <c r="J142" s="28"/>
    </row>
    <row r="143">
      <c r="A143" s="28"/>
      <c r="B143" s="20"/>
      <c r="C143" s="20"/>
      <c r="D143" s="28"/>
      <c r="E143" s="28"/>
      <c r="F143" s="28"/>
      <c r="G143" s="28"/>
      <c r="H143" s="20"/>
      <c r="I143" s="28"/>
      <c r="J143" s="28"/>
    </row>
    <row r="144">
      <c r="A144" s="28"/>
      <c r="B144" s="20"/>
      <c r="C144" s="20"/>
      <c r="D144" s="28"/>
      <c r="E144" s="28"/>
      <c r="F144" s="28"/>
      <c r="G144" s="28"/>
      <c r="H144" s="20"/>
      <c r="I144" s="28"/>
      <c r="J144" s="28"/>
    </row>
    <row r="145">
      <c r="A145" s="28"/>
      <c r="B145" s="20"/>
      <c r="C145" s="20"/>
      <c r="D145" s="28"/>
      <c r="E145" s="28"/>
      <c r="F145" s="28"/>
      <c r="G145" s="28"/>
      <c r="H145" s="20"/>
      <c r="I145" s="28"/>
      <c r="J145" s="28"/>
    </row>
    <row r="146">
      <c r="A146" s="28"/>
      <c r="B146" s="20"/>
      <c r="C146" s="20"/>
      <c r="D146" s="28"/>
      <c r="E146" s="28"/>
      <c r="F146" s="28"/>
      <c r="G146" s="28"/>
      <c r="H146" s="20"/>
      <c r="I146" s="28"/>
      <c r="J146" s="28"/>
    </row>
    <row r="147">
      <c r="A147" s="28"/>
      <c r="B147" s="20"/>
      <c r="C147" s="20"/>
      <c r="D147" s="28"/>
      <c r="E147" s="28"/>
      <c r="F147" s="28"/>
      <c r="G147" s="28"/>
      <c r="H147" s="20"/>
      <c r="I147" s="28"/>
      <c r="J147" s="28"/>
    </row>
    <row r="148">
      <c r="A148" s="28"/>
      <c r="B148" s="20"/>
      <c r="C148" s="20"/>
      <c r="D148" s="28"/>
      <c r="E148" s="28"/>
      <c r="F148" s="28"/>
      <c r="G148" s="28"/>
      <c r="H148" s="20"/>
      <c r="I148" s="28"/>
      <c r="J148" s="28"/>
    </row>
    <row r="149">
      <c r="A149" s="28"/>
      <c r="B149" s="20"/>
      <c r="C149" s="20"/>
      <c r="D149" s="28"/>
      <c r="E149" s="28"/>
      <c r="F149" s="28"/>
      <c r="G149" s="28"/>
      <c r="H149" s="20"/>
      <c r="I149" s="28"/>
      <c r="J149" s="28"/>
    </row>
    <row r="150">
      <c r="A150" s="28"/>
      <c r="B150" s="20"/>
      <c r="C150" s="20"/>
      <c r="D150" s="28"/>
      <c r="E150" s="28"/>
      <c r="F150" s="28"/>
      <c r="G150" s="28"/>
      <c r="H150" s="20"/>
      <c r="I150" s="28"/>
      <c r="J150" s="28"/>
    </row>
    <row r="151">
      <c r="A151" s="28"/>
      <c r="B151" s="20"/>
      <c r="C151" s="20"/>
      <c r="D151" s="28"/>
      <c r="E151" s="28"/>
      <c r="F151" s="28"/>
      <c r="G151" s="28"/>
      <c r="H151" s="20"/>
      <c r="I151" s="28"/>
      <c r="J151" s="28"/>
    </row>
    <row r="152">
      <c r="A152" s="28"/>
      <c r="B152" s="20"/>
      <c r="C152" s="20"/>
      <c r="D152" s="28"/>
      <c r="E152" s="28"/>
      <c r="F152" s="28"/>
      <c r="G152" s="28"/>
      <c r="H152" s="20"/>
      <c r="I152" s="28"/>
      <c r="J152" s="28"/>
    </row>
    <row r="153">
      <c r="A153" s="28"/>
      <c r="B153" s="20"/>
      <c r="C153" s="20"/>
      <c r="D153" s="28"/>
      <c r="E153" s="28"/>
      <c r="F153" s="28"/>
      <c r="G153" s="28"/>
      <c r="H153" s="20"/>
      <c r="I153" s="28"/>
      <c r="J153" s="28"/>
    </row>
    <row r="154">
      <c r="A154" s="28"/>
      <c r="B154" s="20"/>
      <c r="C154" s="20"/>
      <c r="D154" s="28"/>
      <c r="E154" s="28"/>
      <c r="F154" s="28"/>
      <c r="G154" s="28"/>
      <c r="H154" s="20"/>
      <c r="I154" s="28"/>
      <c r="J154" s="28"/>
    </row>
    <row r="155">
      <c r="A155" s="28"/>
      <c r="B155" s="20"/>
      <c r="C155" s="20"/>
      <c r="D155" s="28"/>
      <c r="E155" s="28"/>
      <c r="F155" s="28"/>
      <c r="G155" s="28"/>
      <c r="H155" s="20"/>
      <c r="I155" s="28"/>
      <c r="J155" s="28"/>
    </row>
    <row r="156">
      <c r="A156" s="28"/>
      <c r="B156" s="20"/>
      <c r="C156" s="20"/>
      <c r="D156" s="28"/>
      <c r="E156" s="28"/>
      <c r="F156" s="28"/>
      <c r="G156" s="28"/>
      <c r="H156" s="20"/>
      <c r="I156" s="28"/>
      <c r="J156" s="28"/>
    </row>
    <row r="157">
      <c r="A157" s="28"/>
      <c r="B157" s="20"/>
      <c r="C157" s="20"/>
      <c r="D157" s="28"/>
      <c r="E157" s="28"/>
      <c r="F157" s="28"/>
      <c r="G157" s="28"/>
      <c r="H157" s="20"/>
      <c r="I157" s="28"/>
      <c r="J157" s="28"/>
    </row>
    <row r="158">
      <c r="A158" s="28"/>
      <c r="B158" s="20"/>
      <c r="C158" s="20"/>
      <c r="D158" s="28"/>
      <c r="E158" s="28"/>
      <c r="F158" s="28"/>
      <c r="G158" s="28"/>
      <c r="H158" s="20"/>
      <c r="I158" s="28"/>
      <c r="J158" s="28"/>
    </row>
    <row r="159">
      <c r="A159" s="28"/>
      <c r="B159" s="20"/>
      <c r="C159" s="20"/>
      <c r="D159" s="28"/>
      <c r="E159" s="28"/>
      <c r="F159" s="28"/>
      <c r="G159" s="28"/>
      <c r="H159" s="20"/>
      <c r="I159" s="28"/>
      <c r="J159" s="28"/>
    </row>
    <row r="160">
      <c r="A160" s="28"/>
      <c r="B160" s="20"/>
      <c r="C160" s="20"/>
      <c r="D160" s="28"/>
      <c r="E160" s="28"/>
      <c r="F160" s="28"/>
      <c r="G160" s="28"/>
      <c r="H160" s="20"/>
      <c r="I160" s="28"/>
      <c r="J160" s="28"/>
    </row>
    <row r="161">
      <c r="A161" s="28"/>
      <c r="B161" s="20"/>
      <c r="C161" s="20"/>
      <c r="D161" s="28"/>
      <c r="E161" s="28"/>
      <c r="F161" s="28"/>
      <c r="G161" s="28"/>
      <c r="H161" s="20"/>
      <c r="I161" s="28"/>
      <c r="J161" s="28"/>
    </row>
    <row r="162">
      <c r="A162" s="28"/>
      <c r="B162" s="20"/>
      <c r="C162" s="20"/>
      <c r="D162" s="28"/>
      <c r="E162" s="28"/>
      <c r="F162" s="28"/>
      <c r="G162" s="28"/>
      <c r="H162" s="20"/>
      <c r="I162" s="28"/>
      <c r="J162" s="28"/>
    </row>
    <row r="163">
      <c r="A163" s="28"/>
      <c r="B163" s="20"/>
      <c r="C163" s="20"/>
      <c r="D163" s="28"/>
      <c r="E163" s="28"/>
      <c r="F163" s="28"/>
      <c r="G163" s="28"/>
      <c r="H163" s="20"/>
      <c r="I163" s="28"/>
      <c r="J163" s="28"/>
    </row>
    <row r="164">
      <c r="A164" s="28"/>
      <c r="B164" s="20"/>
      <c r="C164" s="20"/>
      <c r="D164" s="28"/>
      <c r="E164" s="28"/>
      <c r="F164" s="28"/>
      <c r="G164" s="28"/>
      <c r="H164" s="20"/>
      <c r="I164" s="28"/>
      <c r="J164" s="28"/>
    </row>
    <row r="165">
      <c r="A165" s="28"/>
      <c r="B165" s="20"/>
      <c r="C165" s="20"/>
      <c r="D165" s="28"/>
      <c r="E165" s="28"/>
      <c r="F165" s="28"/>
      <c r="G165" s="28"/>
      <c r="H165" s="20"/>
      <c r="I165" s="28"/>
      <c r="J165" s="28"/>
    </row>
    <row r="166">
      <c r="A166" s="28"/>
      <c r="B166" s="20"/>
      <c r="C166" s="20"/>
      <c r="D166" s="28"/>
      <c r="E166" s="28"/>
      <c r="F166" s="28"/>
      <c r="G166" s="28"/>
      <c r="H166" s="20"/>
      <c r="I166" s="28"/>
      <c r="J166" s="28"/>
    </row>
    <row r="167">
      <c r="A167" s="28"/>
      <c r="B167" s="20"/>
      <c r="C167" s="20"/>
      <c r="D167" s="28"/>
      <c r="E167" s="28"/>
      <c r="F167" s="28"/>
      <c r="G167" s="28"/>
      <c r="H167" s="20"/>
      <c r="I167" s="28"/>
      <c r="J167" s="28"/>
    </row>
    <row r="168">
      <c r="A168" s="28"/>
      <c r="B168" s="20"/>
      <c r="C168" s="20"/>
      <c r="D168" s="28"/>
      <c r="E168" s="28"/>
      <c r="F168" s="28"/>
      <c r="G168" s="28"/>
      <c r="H168" s="20"/>
      <c r="I168" s="28"/>
      <c r="J168" s="28"/>
    </row>
    <row r="169">
      <c r="A169" s="28"/>
      <c r="B169" s="20"/>
      <c r="C169" s="20"/>
      <c r="D169" s="28"/>
      <c r="E169" s="28"/>
      <c r="F169" s="28"/>
      <c r="G169" s="28"/>
      <c r="H169" s="20"/>
      <c r="I169" s="28"/>
      <c r="J169" s="28"/>
    </row>
    <row r="170">
      <c r="A170" s="28"/>
      <c r="B170" s="20"/>
      <c r="C170" s="20"/>
      <c r="D170" s="28"/>
      <c r="E170" s="28"/>
      <c r="F170" s="28"/>
      <c r="G170" s="28"/>
      <c r="H170" s="20"/>
      <c r="I170" s="28"/>
      <c r="J170" s="28"/>
    </row>
    <row r="171">
      <c r="A171" s="28"/>
      <c r="B171" s="20"/>
      <c r="C171" s="20"/>
      <c r="D171" s="28"/>
      <c r="E171" s="28"/>
      <c r="F171" s="28"/>
      <c r="G171" s="28"/>
      <c r="H171" s="20"/>
      <c r="I171" s="28"/>
      <c r="J171" s="28"/>
    </row>
    <row r="172">
      <c r="A172" s="28"/>
      <c r="B172" s="20"/>
      <c r="C172" s="20"/>
      <c r="D172" s="28"/>
      <c r="E172" s="28"/>
      <c r="F172" s="28"/>
      <c r="G172" s="28"/>
      <c r="H172" s="20"/>
      <c r="I172" s="28"/>
      <c r="J172" s="28"/>
    </row>
    <row r="173">
      <c r="A173" s="28"/>
      <c r="B173" s="20"/>
      <c r="C173" s="20"/>
      <c r="D173" s="28"/>
      <c r="E173" s="28"/>
      <c r="F173" s="28"/>
      <c r="G173" s="28"/>
      <c r="H173" s="20"/>
      <c r="I173" s="28"/>
      <c r="J173" s="28"/>
    </row>
    <row r="174">
      <c r="A174" s="28"/>
      <c r="B174" s="20"/>
      <c r="C174" s="20"/>
      <c r="D174" s="28"/>
      <c r="E174" s="28"/>
      <c r="F174" s="28"/>
      <c r="G174" s="28"/>
      <c r="H174" s="20"/>
      <c r="I174" s="28"/>
      <c r="J174" s="28"/>
    </row>
    <row r="175">
      <c r="A175" s="28"/>
      <c r="B175" s="20"/>
      <c r="C175" s="20"/>
      <c r="D175" s="28"/>
      <c r="E175" s="28"/>
      <c r="F175" s="28"/>
      <c r="G175" s="28"/>
      <c r="H175" s="20"/>
      <c r="I175" s="28"/>
      <c r="J175" s="28"/>
    </row>
  </sheetData>
  <autoFilter ref="$A$2:$J$112"/>
  <mergeCells count="1">
    <mergeCell ref="A1:J1"/>
  </mergeCells>
  <conditionalFormatting sqref="D3:E175">
    <cfRule type="expression" dxfId="0" priority="1">
      <formula>D3&gt;=MAX(D$3:D$235)</formula>
    </cfRule>
  </conditionalFormatting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2.75"/>
  <cols>
    <col customWidth="1" min="1" max="1" width="9.5"/>
    <col customWidth="1" min="2" max="2" width="2.88"/>
    <col customWidth="1" min="3" max="4" width="1.88"/>
    <col customWidth="1" min="5" max="5" width="6.63"/>
    <col customWidth="1" min="6" max="6" width="10.38"/>
    <col customWidth="1" min="7" max="7" width="6.88"/>
    <col customWidth="1" min="8" max="8" width="11.13"/>
    <col customWidth="1" min="9" max="9" width="11.5"/>
    <col customWidth="1" min="10" max="10" width="10.5"/>
    <col customWidth="1" min="11" max="12" width="11.13"/>
    <col customWidth="1" min="13" max="13" width="11.5"/>
    <col customWidth="1" min="14" max="14" width="10.5"/>
    <col customWidth="1" min="15" max="15" width="11.0"/>
    <col customWidth="1" min="16" max="16" width="40.63"/>
    <col customWidth="1" min="17" max="17" width="13.13"/>
    <col customWidth="1" min="18" max="18" width="7.0"/>
    <col customWidth="1" min="19" max="19" width="8.88"/>
    <col customWidth="1" min="20" max="20" width="7.0"/>
    <col customWidth="1" min="21" max="21" width="6.75"/>
  </cols>
  <sheetData>
    <row r="1" ht="30.75" customHeight="1">
      <c r="A1" s="1" t="s">
        <v>481</v>
      </c>
    </row>
    <row r="2" ht="15.0" customHeight="1">
      <c r="A2" s="6" t="s">
        <v>16</v>
      </c>
      <c r="B2" s="6" t="s">
        <v>208</v>
      </c>
      <c r="C2" s="6" t="s">
        <v>485</v>
      </c>
      <c r="D2" s="6" t="s">
        <v>486</v>
      </c>
      <c r="E2" s="6" t="s">
        <v>487</v>
      </c>
      <c r="F2" s="6" t="s">
        <v>488</v>
      </c>
      <c r="G2" s="47" t="s">
        <v>489</v>
      </c>
      <c r="H2" s="6" t="s">
        <v>491</v>
      </c>
      <c r="I2" s="6" t="s">
        <v>492</v>
      </c>
      <c r="J2" s="6" t="s">
        <v>493</v>
      </c>
      <c r="K2" s="6" t="s">
        <v>494</v>
      </c>
      <c r="L2" s="6" t="s">
        <v>495</v>
      </c>
      <c r="M2" s="6" t="s">
        <v>496</v>
      </c>
      <c r="N2" s="6" t="s">
        <v>497</v>
      </c>
      <c r="O2" s="6" t="s">
        <v>499</v>
      </c>
      <c r="P2" s="47" t="s">
        <v>501</v>
      </c>
      <c r="Q2" s="6" t="s">
        <v>502</v>
      </c>
      <c r="R2" s="6" t="s">
        <v>17</v>
      </c>
      <c r="S2" s="6" t="s">
        <v>18</v>
      </c>
      <c r="T2" s="11" t="s">
        <v>19</v>
      </c>
      <c r="U2" s="47" t="s">
        <v>20</v>
      </c>
    </row>
    <row r="3" ht="15.0" customHeight="1">
      <c r="A3" s="13" t="s">
        <v>29</v>
      </c>
      <c r="B3" s="13">
        <v>15.0</v>
      </c>
      <c r="C3" s="13">
        <v>1.0</v>
      </c>
      <c r="D3" s="13">
        <v>0.0</v>
      </c>
      <c r="E3" s="13">
        <v>651.0</v>
      </c>
      <c r="F3" s="13">
        <v>219.0</v>
      </c>
      <c r="G3" s="13">
        <f t="shared" ref="G3:G30" si="1">E3-F3</f>
        <v>432</v>
      </c>
      <c r="H3" s="13">
        <v>5.0</v>
      </c>
      <c r="I3" s="13">
        <v>4842.0</v>
      </c>
      <c r="J3" s="20">
        <v>1.0</v>
      </c>
      <c r="K3" s="20">
        <v>1.0</v>
      </c>
      <c r="L3" s="13">
        <v>1.0</v>
      </c>
      <c r="M3" s="13">
        <v>3616.0</v>
      </c>
      <c r="N3" s="20">
        <v>9999.0</v>
      </c>
      <c r="O3" s="20">
        <v>9999.0</v>
      </c>
      <c r="P3" s="13"/>
      <c r="Q3" s="13">
        <v>1.0</v>
      </c>
      <c r="R3" s="13" t="s">
        <v>30</v>
      </c>
      <c r="S3" s="13">
        <v>1.0</v>
      </c>
      <c r="T3" s="20">
        <f>vlookup(S3,Superbowls!$A$2:$B$115,2,FALSE)</f>
        <v>2009</v>
      </c>
      <c r="U3" s="20" t="s">
        <v>36</v>
      </c>
    </row>
    <row r="4" ht="15.0" customHeight="1">
      <c r="A4" s="13" t="s">
        <v>34</v>
      </c>
      <c r="B4" s="13">
        <v>10.0</v>
      </c>
      <c r="C4" s="13">
        <v>6.0</v>
      </c>
      <c r="D4" s="13">
        <v>0.0</v>
      </c>
      <c r="E4" s="13">
        <v>447.0</v>
      </c>
      <c r="F4" s="13">
        <v>361.0</v>
      </c>
      <c r="G4" s="13">
        <f t="shared" si="1"/>
        <v>86</v>
      </c>
      <c r="H4" s="13">
        <v>26.0</v>
      </c>
      <c r="I4" s="13">
        <v>4041.0</v>
      </c>
      <c r="J4" s="20">
        <v>1.0</v>
      </c>
      <c r="K4" s="20">
        <v>1.0</v>
      </c>
      <c r="L4" s="13">
        <v>4.0</v>
      </c>
      <c r="M4" s="13">
        <v>3924.0</v>
      </c>
      <c r="N4" s="20">
        <v>9999.0</v>
      </c>
      <c r="O4" s="20">
        <v>9999.0</v>
      </c>
      <c r="P4" s="13"/>
      <c r="Q4" s="13">
        <v>0.0</v>
      </c>
      <c r="R4" s="13" t="s">
        <v>35</v>
      </c>
      <c r="S4" s="13">
        <v>1.0</v>
      </c>
      <c r="T4" s="20">
        <f>vlookup(S4,Superbowls!$A$2:$B$115,2,FALSE)</f>
        <v>2009</v>
      </c>
      <c r="U4" s="20" t="s">
        <v>36</v>
      </c>
    </row>
    <row r="5" ht="15.0" customHeight="1">
      <c r="A5" s="13" t="s">
        <v>41</v>
      </c>
      <c r="B5" s="13">
        <v>8.0</v>
      </c>
      <c r="C5" s="13">
        <v>8.0</v>
      </c>
      <c r="D5" s="13">
        <v>0.0</v>
      </c>
      <c r="E5" s="13">
        <v>380.0</v>
      </c>
      <c r="F5" s="13">
        <v>297.0</v>
      </c>
      <c r="G5" s="13">
        <f t="shared" si="1"/>
        <v>83</v>
      </c>
      <c r="H5" s="13">
        <v>27.0</v>
      </c>
      <c r="I5" s="13">
        <v>4015.0</v>
      </c>
      <c r="J5" s="20">
        <v>1.0</v>
      </c>
      <c r="K5" s="20">
        <v>1.0</v>
      </c>
      <c r="L5" s="13">
        <v>2.0</v>
      </c>
      <c r="M5" s="13">
        <v>3732.0</v>
      </c>
      <c r="N5" s="20">
        <v>9999.0</v>
      </c>
      <c r="O5" s="20">
        <v>9999.0</v>
      </c>
      <c r="P5" s="13"/>
      <c r="Q5" s="13">
        <v>0.0</v>
      </c>
      <c r="R5" s="13" t="s">
        <v>42</v>
      </c>
      <c r="S5" s="13">
        <v>1.0</v>
      </c>
      <c r="T5" s="20">
        <f>vlookup(S5,Superbowls!$A$2:$B$115,2,FALSE)</f>
        <v>2009</v>
      </c>
      <c r="U5" s="20" t="s">
        <v>36</v>
      </c>
    </row>
    <row r="6" ht="15.0" customHeight="1">
      <c r="A6" s="13" t="s">
        <v>47</v>
      </c>
      <c r="B6" s="13">
        <v>15.0</v>
      </c>
      <c r="C6" s="13">
        <v>1.0</v>
      </c>
      <c r="D6" s="13">
        <v>0.0</v>
      </c>
      <c r="E6" s="13">
        <v>567.0</v>
      </c>
      <c r="F6" s="13">
        <v>203.0</v>
      </c>
      <c r="G6" s="13">
        <f t="shared" si="1"/>
        <v>364</v>
      </c>
      <c r="H6" s="13">
        <v>1.0</v>
      </c>
      <c r="I6" s="13">
        <v>5066.0</v>
      </c>
      <c r="J6" s="20">
        <v>1.0</v>
      </c>
      <c r="K6" s="20">
        <v>1.0</v>
      </c>
      <c r="L6" s="13">
        <v>1.0</v>
      </c>
      <c r="M6" s="13">
        <v>3535.0</v>
      </c>
      <c r="N6" s="20">
        <v>9999.0</v>
      </c>
      <c r="O6" s="20">
        <v>9999.0</v>
      </c>
      <c r="P6" s="13"/>
      <c r="Q6" s="13">
        <v>0.0</v>
      </c>
      <c r="R6" s="13" t="s">
        <v>30</v>
      </c>
      <c r="S6" s="13">
        <v>2.0</v>
      </c>
      <c r="T6" s="20">
        <f>vlookup(S6,Superbowls!$A$2:$B$115,2,FALSE)</f>
        <v>2009</v>
      </c>
      <c r="U6" s="20" t="s">
        <v>36</v>
      </c>
    </row>
    <row r="7" ht="15.0" customHeight="1">
      <c r="A7" s="13" t="s">
        <v>54</v>
      </c>
      <c r="B7" s="13">
        <v>10.0</v>
      </c>
      <c r="C7" s="13">
        <v>6.0</v>
      </c>
      <c r="D7" s="13">
        <v>0.0</v>
      </c>
      <c r="E7" s="13">
        <v>403.0</v>
      </c>
      <c r="F7" s="13">
        <v>328.0</v>
      </c>
      <c r="G7" s="13">
        <f t="shared" si="1"/>
        <v>75</v>
      </c>
      <c r="H7" s="13">
        <v>18.0</v>
      </c>
      <c r="I7" s="13">
        <v>4208.0</v>
      </c>
      <c r="J7" s="20">
        <v>1.0</v>
      </c>
      <c r="K7" s="20">
        <v>1.0</v>
      </c>
      <c r="L7" s="13">
        <v>4.0</v>
      </c>
      <c r="M7" s="13">
        <v>3970.0</v>
      </c>
      <c r="N7" s="20">
        <v>9999.0</v>
      </c>
      <c r="O7" s="20">
        <v>9999.0</v>
      </c>
      <c r="P7" s="13"/>
      <c r="Q7" s="13">
        <v>1.0</v>
      </c>
      <c r="R7" s="13" t="s">
        <v>42</v>
      </c>
      <c r="S7" s="13">
        <v>2.0</v>
      </c>
      <c r="T7" s="20">
        <f>vlookup(S7,Superbowls!$A$2:$B$115,2,FALSE)</f>
        <v>2009</v>
      </c>
      <c r="U7" s="20" t="s">
        <v>36</v>
      </c>
    </row>
    <row r="8" ht="15.0" customHeight="1">
      <c r="A8" s="13" t="s">
        <v>34</v>
      </c>
      <c r="B8" s="13">
        <v>14.0</v>
      </c>
      <c r="C8" s="13">
        <v>2.0</v>
      </c>
      <c r="D8" s="13">
        <v>0.0</v>
      </c>
      <c r="E8" s="13">
        <v>528.0</v>
      </c>
      <c r="F8" s="13">
        <v>170.0</v>
      </c>
      <c r="G8" s="13">
        <f t="shared" si="1"/>
        <v>358</v>
      </c>
      <c r="H8" s="13">
        <v>6.0</v>
      </c>
      <c r="I8" s="13">
        <v>4760.0</v>
      </c>
      <c r="J8" s="20">
        <v>1.0</v>
      </c>
      <c r="K8" s="20">
        <v>1.0</v>
      </c>
      <c r="L8" s="13">
        <v>1.0</v>
      </c>
      <c r="M8" s="13">
        <v>2877.0</v>
      </c>
      <c r="N8" s="20">
        <v>9999.0</v>
      </c>
      <c r="O8" s="20">
        <v>9999.0</v>
      </c>
      <c r="P8" s="13"/>
      <c r="Q8" s="13">
        <v>0.0</v>
      </c>
      <c r="R8" s="13" t="s">
        <v>35</v>
      </c>
      <c r="S8" s="13">
        <v>3.0</v>
      </c>
      <c r="T8" s="20">
        <f>vlookup(S8,Superbowls!$A$2:$B$115,2,FALSE)</f>
        <v>2009</v>
      </c>
      <c r="U8" s="20" t="s">
        <v>36</v>
      </c>
    </row>
    <row r="9" ht="15.0" customHeight="1">
      <c r="A9" s="13" t="s">
        <v>60</v>
      </c>
      <c r="B9" s="13">
        <v>16.0</v>
      </c>
      <c r="C9" s="13">
        <v>0.0</v>
      </c>
      <c r="D9" s="13">
        <v>0.0</v>
      </c>
      <c r="E9" s="13">
        <v>614.0</v>
      </c>
      <c r="F9" s="13">
        <v>274.0</v>
      </c>
      <c r="G9" s="13">
        <f t="shared" si="1"/>
        <v>340</v>
      </c>
      <c r="H9" s="13">
        <v>3.0</v>
      </c>
      <c r="I9" s="13">
        <v>4891.0</v>
      </c>
      <c r="J9" s="20">
        <v>1.0</v>
      </c>
      <c r="K9" s="20">
        <v>1.0</v>
      </c>
      <c r="L9" s="13">
        <v>2.0</v>
      </c>
      <c r="M9" s="13">
        <v>3536.0</v>
      </c>
      <c r="N9" s="20">
        <v>9999.0</v>
      </c>
      <c r="O9" s="20">
        <v>9999.0</v>
      </c>
      <c r="P9" s="13"/>
      <c r="Q9" s="13">
        <v>1.0</v>
      </c>
      <c r="R9" s="13" t="s">
        <v>30</v>
      </c>
      <c r="S9" s="13">
        <v>3.0</v>
      </c>
      <c r="T9" s="20">
        <f>vlookup(S9,Superbowls!$A$2:$B$115,2,FALSE)</f>
        <v>2009</v>
      </c>
      <c r="U9" s="20" t="s">
        <v>36</v>
      </c>
    </row>
    <row r="10" ht="15.0" customHeight="1">
      <c r="A10" s="13" t="s">
        <v>57</v>
      </c>
      <c r="B10" s="13">
        <v>8.0</v>
      </c>
      <c r="C10" s="13">
        <v>8.0</v>
      </c>
      <c r="D10" s="13">
        <v>0.0</v>
      </c>
      <c r="E10" s="13">
        <v>379.0</v>
      </c>
      <c r="F10" s="13">
        <v>326.0</v>
      </c>
      <c r="G10" s="13">
        <f t="shared" si="1"/>
        <v>53</v>
      </c>
      <c r="H10" s="13">
        <v>26.0</v>
      </c>
      <c r="I10" s="13">
        <v>3883.0</v>
      </c>
      <c r="J10" s="20">
        <v>1.0</v>
      </c>
      <c r="K10" s="20">
        <v>1.0</v>
      </c>
      <c r="L10" s="13">
        <v>6.0</v>
      </c>
      <c r="M10" s="13">
        <v>4119.0</v>
      </c>
      <c r="N10" s="20">
        <v>9999.0</v>
      </c>
      <c r="O10" s="20">
        <v>9999.0</v>
      </c>
      <c r="P10" s="13"/>
      <c r="Q10" s="13">
        <v>0.0</v>
      </c>
      <c r="R10" s="13" t="s">
        <v>42</v>
      </c>
      <c r="S10" s="13">
        <v>3.0</v>
      </c>
      <c r="T10" s="20">
        <f>vlookup(S10,Superbowls!$A$2:$B$115,2,FALSE)</f>
        <v>2009</v>
      </c>
      <c r="U10" s="20" t="s">
        <v>36</v>
      </c>
    </row>
    <row r="11" ht="15.0" customHeight="1">
      <c r="A11" s="13" t="s">
        <v>79</v>
      </c>
      <c r="B11" s="13">
        <v>15.0</v>
      </c>
      <c r="C11" s="13">
        <v>1.0</v>
      </c>
      <c r="D11" s="13">
        <v>0.0</v>
      </c>
      <c r="E11" s="13">
        <v>619.0</v>
      </c>
      <c r="F11" s="13">
        <v>245.0</v>
      </c>
      <c r="G11" s="13">
        <f t="shared" si="1"/>
        <v>374</v>
      </c>
      <c r="H11" s="13">
        <v>2.0</v>
      </c>
      <c r="I11" s="13">
        <v>5481.0</v>
      </c>
      <c r="J11" s="13">
        <v>4873.0</v>
      </c>
      <c r="K11" s="13">
        <v>608.0</v>
      </c>
      <c r="L11" s="13">
        <v>1.0</v>
      </c>
      <c r="M11" s="13">
        <v>2945.0</v>
      </c>
      <c r="N11" s="13">
        <v>1098.0</v>
      </c>
      <c r="O11" s="13">
        <v>1847.0</v>
      </c>
      <c r="P11" s="13"/>
      <c r="Q11" s="13">
        <v>1.0</v>
      </c>
      <c r="R11" s="13" t="s">
        <v>30</v>
      </c>
      <c r="S11" s="13">
        <v>4.0</v>
      </c>
      <c r="T11" s="20">
        <f>vlookup(S11,Superbowls!$A$2:$B$115,2,FALSE)</f>
        <v>2009</v>
      </c>
      <c r="U11" s="20" t="s">
        <v>36</v>
      </c>
    </row>
    <row r="12" ht="15.0" customHeight="1">
      <c r="A12" s="13" t="s">
        <v>34</v>
      </c>
      <c r="B12" s="13">
        <v>14.0</v>
      </c>
      <c r="C12" s="13">
        <v>2.0</v>
      </c>
      <c r="D12" s="13">
        <v>0.0</v>
      </c>
      <c r="E12" s="13">
        <v>515.0</v>
      </c>
      <c r="F12" s="13">
        <v>209.0</v>
      </c>
      <c r="G12" s="13">
        <f t="shared" si="1"/>
        <v>306</v>
      </c>
      <c r="H12" s="13">
        <v>22.0</v>
      </c>
      <c r="I12" s="13">
        <v>4214.0</v>
      </c>
      <c r="J12" s="13">
        <v>1517.0</v>
      </c>
      <c r="K12" s="13">
        <v>2697.0</v>
      </c>
      <c r="L12" s="13">
        <v>2.0</v>
      </c>
      <c r="M12" s="13">
        <v>3070.0</v>
      </c>
      <c r="N12" s="13">
        <v>1199.0</v>
      </c>
      <c r="O12" s="13">
        <v>1871.0</v>
      </c>
      <c r="P12" s="13"/>
      <c r="Q12" s="13">
        <v>0.0</v>
      </c>
      <c r="R12" s="13" t="s">
        <v>35</v>
      </c>
      <c r="S12" s="13">
        <v>4.0</v>
      </c>
      <c r="T12" s="20">
        <f>vlookup(S12,Superbowls!$A$2:$B$115,2,FALSE)</f>
        <v>2009</v>
      </c>
      <c r="U12" s="20" t="s">
        <v>36</v>
      </c>
    </row>
    <row r="13" ht="15.0" customHeight="1">
      <c r="A13" s="13" t="s">
        <v>54</v>
      </c>
      <c r="B13" s="13">
        <v>14.0</v>
      </c>
      <c r="C13" s="13">
        <v>2.0</v>
      </c>
      <c r="D13" s="13">
        <v>0.0</v>
      </c>
      <c r="E13" s="13">
        <v>588.0</v>
      </c>
      <c r="F13" s="13">
        <v>311.0</v>
      </c>
      <c r="G13" s="13">
        <f t="shared" si="1"/>
        <v>277</v>
      </c>
      <c r="H13" s="13">
        <v>1.0</v>
      </c>
      <c r="I13" s="13">
        <v>5647.0</v>
      </c>
      <c r="J13" s="13">
        <v>5530.0</v>
      </c>
      <c r="K13" s="13">
        <v>117.0</v>
      </c>
      <c r="L13" s="13">
        <v>4.0</v>
      </c>
      <c r="M13" s="13">
        <v>3883.0</v>
      </c>
      <c r="N13" s="13">
        <v>1004.0</v>
      </c>
      <c r="O13" s="13">
        <v>3879.0</v>
      </c>
      <c r="P13" s="13"/>
      <c r="Q13" s="13">
        <v>0.0</v>
      </c>
      <c r="R13" s="13" t="s">
        <v>42</v>
      </c>
      <c r="S13" s="13">
        <v>4.0</v>
      </c>
      <c r="T13" s="20">
        <f>vlookup(S13,Superbowls!$A$2:$B$115,2,FALSE)</f>
        <v>2009</v>
      </c>
      <c r="U13" s="20" t="s">
        <v>36</v>
      </c>
    </row>
    <row r="14" ht="15.0" customHeight="1">
      <c r="A14" s="13" t="s">
        <v>62</v>
      </c>
      <c r="B14" s="13">
        <v>11.0</v>
      </c>
      <c r="C14" s="13">
        <v>5.0</v>
      </c>
      <c r="D14" s="13">
        <v>0.0</v>
      </c>
      <c r="E14" s="13">
        <v>396.0</v>
      </c>
      <c r="F14" s="13">
        <v>300.0</v>
      </c>
      <c r="G14" s="13">
        <f t="shared" si="1"/>
        <v>96</v>
      </c>
      <c r="H14" s="13">
        <v>18.0</v>
      </c>
      <c r="I14" s="13">
        <v>4352.0</v>
      </c>
      <c r="J14" s="13">
        <v>3112.0</v>
      </c>
      <c r="K14" s="13">
        <v>1240.0</v>
      </c>
      <c r="L14" s="13">
        <v>3.0</v>
      </c>
      <c r="M14" s="13">
        <v>3880.0</v>
      </c>
      <c r="N14" s="13">
        <v>2053.0</v>
      </c>
      <c r="O14" s="13">
        <v>1827.0</v>
      </c>
      <c r="P14" s="13"/>
      <c r="Q14" s="13">
        <v>0.0</v>
      </c>
      <c r="R14" s="13" t="s">
        <v>63</v>
      </c>
      <c r="S14" s="13">
        <v>4.0</v>
      </c>
      <c r="T14" s="20">
        <f>vlookup(S14,Superbowls!$A$2:$B$115,2,FALSE)</f>
        <v>2009</v>
      </c>
      <c r="U14" s="20" t="s">
        <v>36</v>
      </c>
    </row>
    <row r="15" ht="15.0" customHeight="1">
      <c r="A15" s="13" t="s">
        <v>89</v>
      </c>
      <c r="B15" s="13">
        <v>16.0</v>
      </c>
      <c r="C15" s="13">
        <v>0.0</v>
      </c>
      <c r="D15" s="13">
        <v>0.0</v>
      </c>
      <c r="E15" s="13">
        <v>821.0</v>
      </c>
      <c r="F15" s="13">
        <v>88.0</v>
      </c>
      <c r="G15" s="13">
        <f t="shared" si="1"/>
        <v>733</v>
      </c>
      <c r="H15" s="13">
        <v>2.0</v>
      </c>
      <c r="I15" s="13">
        <v>5489.0</v>
      </c>
      <c r="J15" s="13">
        <v>4696.0</v>
      </c>
      <c r="K15" s="13">
        <v>793.0</v>
      </c>
      <c r="L15" s="13">
        <v>1.0</v>
      </c>
      <c r="M15" s="13">
        <v>2424.0</v>
      </c>
      <c r="N15" s="13">
        <v>980.0</v>
      </c>
      <c r="O15" s="13">
        <v>1444.0</v>
      </c>
      <c r="P15" s="13"/>
      <c r="Q15" s="13">
        <v>1.0</v>
      </c>
      <c r="R15" s="13" t="s">
        <v>30</v>
      </c>
      <c r="S15" s="13">
        <v>5.0</v>
      </c>
      <c r="T15" s="20">
        <f>vlookup(S15,Superbowls!$A$2:$B$115,2,FALSE)</f>
        <v>2010</v>
      </c>
      <c r="U15" s="20" t="s">
        <v>36</v>
      </c>
    </row>
    <row r="16" ht="15.0" customHeight="1">
      <c r="A16" s="13" t="s">
        <v>81</v>
      </c>
      <c r="B16" s="13">
        <v>15.0</v>
      </c>
      <c r="C16" s="13">
        <v>1.0</v>
      </c>
      <c r="D16" s="13">
        <v>0.0</v>
      </c>
      <c r="E16" s="13">
        <v>594.0</v>
      </c>
      <c r="F16" s="13">
        <v>255.0</v>
      </c>
      <c r="G16" s="13">
        <f t="shared" si="1"/>
        <v>339</v>
      </c>
      <c r="H16" s="13">
        <v>1.0</v>
      </c>
      <c r="I16" s="13">
        <v>5680.0</v>
      </c>
      <c r="J16" s="13">
        <v>5432.0</v>
      </c>
      <c r="K16" s="13">
        <v>248.0</v>
      </c>
      <c r="L16" s="13">
        <v>5.0</v>
      </c>
      <c r="M16" s="13">
        <v>4178.0</v>
      </c>
      <c r="N16" s="13">
        <v>1966.0</v>
      </c>
      <c r="O16" s="13">
        <v>2212.0</v>
      </c>
      <c r="P16" s="13"/>
      <c r="Q16" s="13">
        <v>0.0</v>
      </c>
      <c r="R16" s="13" t="s">
        <v>63</v>
      </c>
      <c r="S16" s="13">
        <v>5.0</v>
      </c>
      <c r="T16" s="20">
        <f>vlookup(S16,Superbowls!$A$2:$B$115,2,FALSE)</f>
        <v>2010</v>
      </c>
      <c r="U16" s="20" t="s">
        <v>36</v>
      </c>
    </row>
    <row r="17" ht="15.0" customHeight="1">
      <c r="A17" s="13" t="s">
        <v>70</v>
      </c>
      <c r="B17" s="13">
        <v>14.0</v>
      </c>
      <c r="C17" s="13">
        <v>2.0</v>
      </c>
      <c r="D17" s="13">
        <v>0.0</v>
      </c>
      <c r="E17" s="13">
        <v>664.0</v>
      </c>
      <c r="F17" s="13">
        <v>216.0</v>
      </c>
      <c r="G17" s="13">
        <f t="shared" si="1"/>
        <v>448</v>
      </c>
      <c r="H17" s="13">
        <v>9.0</v>
      </c>
      <c r="I17" s="13">
        <v>4554.0</v>
      </c>
      <c r="J17" s="13">
        <v>399.0</v>
      </c>
      <c r="K17" s="13">
        <v>4155.0</v>
      </c>
      <c r="L17" s="13">
        <v>1.0</v>
      </c>
      <c r="M17" s="13">
        <v>3083.0</v>
      </c>
      <c r="N17" s="13">
        <v>1522.0</v>
      </c>
      <c r="O17" s="13">
        <v>1561.0</v>
      </c>
      <c r="P17" s="13"/>
      <c r="Q17" s="13">
        <v>0.0</v>
      </c>
      <c r="R17" s="13" t="s">
        <v>71</v>
      </c>
      <c r="S17" s="20">
        <v>6.0</v>
      </c>
      <c r="T17" s="20">
        <f>vlookup(S17,Superbowls!$A$2:$B$115,2,FALSE)</f>
        <v>2011</v>
      </c>
      <c r="U17" s="20" t="s">
        <v>36</v>
      </c>
    </row>
    <row r="18" ht="15.0" customHeight="1">
      <c r="A18" s="13" t="s">
        <v>54</v>
      </c>
      <c r="B18" s="13">
        <v>15.0</v>
      </c>
      <c r="C18" s="13">
        <v>1.0</v>
      </c>
      <c r="D18" s="13">
        <v>0.0</v>
      </c>
      <c r="E18" s="13">
        <v>699.0</v>
      </c>
      <c r="F18" s="13">
        <v>329.0</v>
      </c>
      <c r="G18" s="13">
        <f t="shared" si="1"/>
        <v>370</v>
      </c>
      <c r="H18" s="13">
        <v>1.0</v>
      </c>
      <c r="I18" s="13">
        <v>6462.0</v>
      </c>
      <c r="J18" s="13">
        <v>6365.0</v>
      </c>
      <c r="K18" s="13">
        <v>97.0</v>
      </c>
      <c r="L18" s="13">
        <v>7.0</v>
      </c>
      <c r="M18" s="13">
        <v>4140.0</v>
      </c>
      <c r="N18" s="13">
        <v>1393.0</v>
      </c>
      <c r="O18" s="13">
        <v>2747.0</v>
      </c>
      <c r="P18" s="13"/>
      <c r="Q18" s="13">
        <v>0.0</v>
      </c>
      <c r="R18" s="13" t="s">
        <v>42</v>
      </c>
      <c r="S18" s="20">
        <v>6.0</v>
      </c>
      <c r="T18" s="20">
        <f>vlookup(S18,Superbowls!$A$2:$B$115,2,FALSE)</f>
        <v>2011</v>
      </c>
      <c r="U18" s="20" t="s">
        <v>36</v>
      </c>
    </row>
    <row r="19" ht="15.0" customHeight="1">
      <c r="A19" s="13" t="s">
        <v>102</v>
      </c>
      <c r="B19" s="13">
        <v>14.0</v>
      </c>
      <c r="C19" s="13">
        <v>2.0</v>
      </c>
      <c r="D19" s="13">
        <v>0.0</v>
      </c>
      <c r="E19" s="13">
        <v>576.0</v>
      </c>
      <c r="F19" s="13">
        <v>243.0</v>
      </c>
      <c r="G19" s="13">
        <f t="shared" si="1"/>
        <v>333</v>
      </c>
      <c r="H19" s="13">
        <v>4.0</v>
      </c>
      <c r="I19" s="13">
        <v>4882.0</v>
      </c>
      <c r="J19" s="13">
        <v>4341.0</v>
      </c>
      <c r="K19" s="13">
        <v>541.0</v>
      </c>
      <c r="L19" s="13">
        <v>2.0</v>
      </c>
      <c r="M19" s="13">
        <v>3405.0</v>
      </c>
      <c r="N19" s="13">
        <v>1365.0</v>
      </c>
      <c r="O19" s="13">
        <v>2040.0</v>
      </c>
      <c r="P19" s="13"/>
      <c r="Q19" s="13">
        <v>0.0</v>
      </c>
      <c r="R19" s="13" t="s">
        <v>30</v>
      </c>
      <c r="S19" s="20">
        <v>6.0</v>
      </c>
      <c r="T19" s="20">
        <f>vlookup(S19,Superbowls!$A$2:$B$115,2,FALSE)</f>
        <v>2011</v>
      </c>
      <c r="U19" s="20" t="s">
        <v>36</v>
      </c>
    </row>
    <row r="20" ht="15.0" customHeight="1">
      <c r="A20" s="20" t="s">
        <v>89</v>
      </c>
      <c r="B20" s="20">
        <v>16.0</v>
      </c>
      <c r="C20" s="20">
        <v>0.0</v>
      </c>
      <c r="D20" s="20">
        <v>0.0</v>
      </c>
      <c r="E20" s="20">
        <v>748.0</v>
      </c>
      <c r="F20" s="20">
        <v>132.0</v>
      </c>
      <c r="G20" s="13">
        <f t="shared" si="1"/>
        <v>616</v>
      </c>
      <c r="H20" s="20">
        <v>1.0</v>
      </c>
      <c r="I20" s="20">
        <v>5908.0</v>
      </c>
      <c r="J20" s="20">
        <v>4969.0</v>
      </c>
      <c r="K20" s="20">
        <v>939.0</v>
      </c>
      <c r="L20" s="20">
        <v>1.0</v>
      </c>
      <c r="M20" s="20">
        <v>2604.0</v>
      </c>
      <c r="N20" s="20">
        <v>1530.0</v>
      </c>
      <c r="O20" s="20">
        <v>1074.0</v>
      </c>
      <c r="P20" s="20"/>
      <c r="Q20" s="20">
        <v>1.0</v>
      </c>
      <c r="R20" s="28" t="s">
        <v>30</v>
      </c>
      <c r="S20" s="20">
        <v>7.0</v>
      </c>
      <c r="T20" s="20">
        <f>vlookup(S20,Superbowls!$A$2:$B$115,2,FALSE)</f>
        <v>2017</v>
      </c>
      <c r="U20" s="20" t="s">
        <v>36</v>
      </c>
    </row>
    <row r="21" ht="15.0" customHeight="1">
      <c r="A21" s="20" t="s">
        <v>29</v>
      </c>
      <c r="B21" s="20">
        <v>14.0</v>
      </c>
      <c r="C21" s="20">
        <v>2.0</v>
      </c>
      <c r="D21" s="20">
        <v>0.0</v>
      </c>
      <c r="E21" s="20">
        <v>557.0</v>
      </c>
      <c r="F21" s="20">
        <v>253.0</v>
      </c>
      <c r="G21" s="13">
        <f t="shared" si="1"/>
        <v>304</v>
      </c>
      <c r="H21" s="20">
        <v>2.0</v>
      </c>
      <c r="I21" s="20">
        <v>5691.0</v>
      </c>
      <c r="J21" s="20">
        <v>4932.0</v>
      </c>
      <c r="K21" s="20">
        <v>759.0</v>
      </c>
      <c r="L21" s="20">
        <v>2.0</v>
      </c>
      <c r="M21" s="20">
        <v>3082.0</v>
      </c>
      <c r="N21" s="20">
        <v>2082.0</v>
      </c>
      <c r="O21" s="20">
        <v>1000.0</v>
      </c>
      <c r="P21" s="20"/>
      <c r="Q21" s="20">
        <v>0.0</v>
      </c>
      <c r="R21" s="28" t="s">
        <v>35</v>
      </c>
      <c r="S21" s="20">
        <v>7.0</v>
      </c>
      <c r="T21" s="20">
        <f>vlookup(S21,Superbowls!$A$2:$B$115,2,FALSE)</f>
        <v>2017</v>
      </c>
      <c r="U21" s="20" t="s">
        <v>36</v>
      </c>
    </row>
    <row r="22" ht="15.0" customHeight="1">
      <c r="A22" s="20" t="s">
        <v>551</v>
      </c>
      <c r="B22" s="20">
        <v>9.0</v>
      </c>
      <c r="C22" s="20">
        <v>7.0</v>
      </c>
      <c r="D22" s="20">
        <v>0.0</v>
      </c>
      <c r="E22" s="20">
        <v>543.0</v>
      </c>
      <c r="F22" s="20">
        <v>355.0</v>
      </c>
      <c r="G22" s="13">
        <f t="shared" si="1"/>
        <v>188</v>
      </c>
      <c r="H22" s="20">
        <v>3.0</v>
      </c>
      <c r="I22" s="20">
        <v>5558.0</v>
      </c>
      <c r="J22" s="20">
        <v>1657.0</v>
      </c>
      <c r="K22" s="20">
        <v>3901.0</v>
      </c>
      <c r="L22" s="20">
        <v>5.0</v>
      </c>
      <c r="M22" s="20">
        <v>4284.0</v>
      </c>
      <c r="N22" s="20">
        <v>2589.0</v>
      </c>
      <c r="O22" s="20">
        <v>1695.0</v>
      </c>
      <c r="P22" s="20"/>
      <c r="Q22" s="20">
        <v>0.0</v>
      </c>
      <c r="R22" s="28" t="s">
        <v>71</v>
      </c>
      <c r="S22" s="20">
        <v>7.0</v>
      </c>
      <c r="T22" s="20">
        <f>vlookup(S22,Superbowls!$A$2:$B$115,2,FALSE)</f>
        <v>2017</v>
      </c>
      <c r="U22" s="20" t="s">
        <v>36</v>
      </c>
    </row>
    <row r="23" ht="15.0" customHeight="1">
      <c r="A23" s="48" t="s">
        <v>156</v>
      </c>
      <c r="B23" s="48">
        <v>15.0</v>
      </c>
      <c r="C23" s="48">
        <v>1.0</v>
      </c>
      <c r="D23" s="48">
        <v>0.0</v>
      </c>
      <c r="E23" s="20">
        <v>483.0</v>
      </c>
      <c r="F23" s="20">
        <v>311.0</v>
      </c>
      <c r="G23" s="20">
        <f t="shared" si="1"/>
        <v>172</v>
      </c>
      <c r="H23" s="20">
        <v>4.0</v>
      </c>
      <c r="I23" s="20">
        <v>4961.0</v>
      </c>
      <c r="J23" s="20">
        <v>3638.0</v>
      </c>
      <c r="K23" s="20">
        <v>1323.0</v>
      </c>
      <c r="L23" s="20">
        <v>6.0</v>
      </c>
      <c r="M23" s="20">
        <v>4288.0</v>
      </c>
      <c r="N23" s="20">
        <v>3279.0</v>
      </c>
      <c r="O23" s="20">
        <v>1009.0</v>
      </c>
      <c r="P23" s="48"/>
      <c r="Q23" s="36">
        <v>0.0</v>
      </c>
      <c r="R23" s="49" t="s">
        <v>432</v>
      </c>
      <c r="S23" s="36">
        <v>7.0</v>
      </c>
      <c r="T23" s="36">
        <f>vlookup(S23,Superbowls!$A$2:$B$115,2,FALSE)</f>
        <v>2017</v>
      </c>
      <c r="U23" s="48" t="s">
        <v>36</v>
      </c>
    </row>
    <row r="24" ht="15.0" customHeight="1">
      <c r="A24" s="20" t="s">
        <v>114</v>
      </c>
      <c r="B24" s="20">
        <v>11.0</v>
      </c>
      <c r="C24" s="20">
        <v>5.0</v>
      </c>
      <c r="D24" s="20">
        <v>0.0</v>
      </c>
      <c r="E24" s="20">
        <v>426.0</v>
      </c>
      <c r="F24" s="20">
        <v>265.0</v>
      </c>
      <c r="G24" s="13">
        <f t="shared" si="1"/>
        <v>161</v>
      </c>
      <c r="H24" s="20">
        <v>8.0</v>
      </c>
      <c r="I24" s="20">
        <v>4671.0</v>
      </c>
      <c r="J24" s="20">
        <v>4269.0</v>
      </c>
      <c r="K24" s="20">
        <v>402.0</v>
      </c>
      <c r="L24" s="20">
        <v>3.0</v>
      </c>
      <c r="M24" s="20">
        <v>3558.0</v>
      </c>
      <c r="N24" s="20">
        <v>2089.0</v>
      </c>
      <c r="O24" s="20">
        <v>1469.0</v>
      </c>
      <c r="P24" s="20"/>
      <c r="Q24" s="20">
        <v>0.0</v>
      </c>
      <c r="R24" s="28" t="s">
        <v>42</v>
      </c>
      <c r="S24" s="20">
        <v>7.0</v>
      </c>
      <c r="T24" s="20">
        <f>vlookup(S24,Superbowls!$A$2:$B$115,2,FALSE)</f>
        <v>2017</v>
      </c>
      <c r="U24" s="20" t="s">
        <v>36</v>
      </c>
    </row>
    <row r="25" ht="15.0" customHeight="1">
      <c r="A25" s="20" t="s">
        <v>79</v>
      </c>
      <c r="B25" s="20">
        <v>13.0</v>
      </c>
      <c r="C25" s="20">
        <v>3.0</v>
      </c>
      <c r="D25" s="20">
        <v>0.0</v>
      </c>
      <c r="E25" s="20">
        <v>495.0</v>
      </c>
      <c r="F25" s="20">
        <v>251.0</v>
      </c>
      <c r="G25" s="13">
        <f t="shared" si="1"/>
        <v>244</v>
      </c>
      <c r="H25" s="20">
        <v>9.0</v>
      </c>
      <c r="I25" s="20">
        <v>4648.0</v>
      </c>
      <c r="J25" s="20">
        <v>3315.0</v>
      </c>
      <c r="K25" s="20">
        <v>1333.0</v>
      </c>
      <c r="L25" s="20">
        <v>4.0</v>
      </c>
      <c r="M25" s="20">
        <v>3666.0</v>
      </c>
      <c r="N25" s="20">
        <v>1602.0</v>
      </c>
      <c r="O25" s="20">
        <v>2064.0</v>
      </c>
      <c r="P25" s="20"/>
      <c r="Q25" s="20">
        <v>0.0</v>
      </c>
      <c r="R25" s="28" t="s">
        <v>71</v>
      </c>
      <c r="S25" s="20">
        <v>8.0</v>
      </c>
      <c r="T25" s="20">
        <f>vlookup(S25,Superbowls!$A$2:$B$115,2,FALSE)</f>
        <v>2017</v>
      </c>
      <c r="U25" s="28" t="s">
        <v>36</v>
      </c>
    </row>
    <row r="26" ht="15.0" customHeight="1">
      <c r="A26" s="20" t="s">
        <v>131</v>
      </c>
      <c r="B26" s="20">
        <v>11.0</v>
      </c>
      <c r="C26" s="20">
        <v>5.0</v>
      </c>
      <c r="D26" s="20">
        <v>0.0</v>
      </c>
      <c r="E26" s="20">
        <v>519.0</v>
      </c>
      <c r="F26" s="20">
        <v>318.0</v>
      </c>
      <c r="G26" s="13">
        <f t="shared" si="1"/>
        <v>201</v>
      </c>
      <c r="H26" s="20">
        <v>24.0</v>
      </c>
      <c r="I26" s="20">
        <v>4196.0</v>
      </c>
      <c r="J26" s="20">
        <v>3630.0</v>
      </c>
      <c r="K26" s="20">
        <v>566.0</v>
      </c>
      <c r="L26" s="20">
        <v>2.0</v>
      </c>
      <c r="M26" s="20">
        <v>3463.0</v>
      </c>
      <c r="N26" s="20">
        <v>1579.0</v>
      </c>
      <c r="O26" s="20">
        <v>1884.0</v>
      </c>
      <c r="P26" s="20"/>
      <c r="Q26" s="20">
        <v>0.0</v>
      </c>
      <c r="R26" s="28" t="s">
        <v>30</v>
      </c>
      <c r="S26" s="20">
        <v>8.0</v>
      </c>
      <c r="T26" s="20">
        <f>vlookup(S26,Superbowls!$A$2:$B$115,2,FALSE)</f>
        <v>2017</v>
      </c>
      <c r="U26" s="28" t="s">
        <v>36</v>
      </c>
    </row>
    <row r="27" ht="15.0" customHeight="1">
      <c r="A27" s="20" t="s">
        <v>124</v>
      </c>
      <c r="B27" s="20">
        <v>13.0</v>
      </c>
      <c r="C27" s="20">
        <v>3.0</v>
      </c>
      <c r="D27" s="20">
        <v>0.0</v>
      </c>
      <c r="E27" s="20">
        <v>442.0</v>
      </c>
      <c r="F27" s="20">
        <v>297.0</v>
      </c>
      <c r="G27" s="13">
        <f t="shared" si="1"/>
        <v>145</v>
      </c>
      <c r="H27" s="20">
        <v>8.0</v>
      </c>
      <c r="I27" s="20">
        <v>4659.0</v>
      </c>
      <c r="J27" s="20">
        <v>4061.0</v>
      </c>
      <c r="K27" s="20">
        <v>598.0</v>
      </c>
      <c r="L27" s="20">
        <v>1.0</v>
      </c>
      <c r="M27" s="20">
        <v>3314.0</v>
      </c>
      <c r="N27" s="20">
        <f>M27-O27</f>
        <v>2090</v>
      </c>
      <c r="O27" s="20">
        <v>1224.0</v>
      </c>
      <c r="P27" s="20"/>
      <c r="Q27" s="20">
        <v>1.0</v>
      </c>
      <c r="R27" s="28" t="s">
        <v>35</v>
      </c>
      <c r="S27" s="20">
        <v>8.0</v>
      </c>
      <c r="T27" s="20">
        <f>vlookup(S27,Superbowls!$A$2:$B$115,2,FALSE)</f>
        <v>2017</v>
      </c>
      <c r="U27" s="28" t="s">
        <v>36</v>
      </c>
    </row>
    <row r="28" ht="15.0" customHeight="1">
      <c r="A28" s="20" t="s">
        <v>78</v>
      </c>
      <c r="B28" s="20">
        <v>10.0</v>
      </c>
      <c r="C28" s="20">
        <v>6.0</v>
      </c>
      <c r="D28" s="20">
        <v>0.0</v>
      </c>
      <c r="E28" s="20">
        <v>413.0</v>
      </c>
      <c r="F28" s="20">
        <v>270.0</v>
      </c>
      <c r="G28" s="13">
        <f t="shared" si="1"/>
        <v>143</v>
      </c>
      <c r="H28" s="20">
        <v>18.0</v>
      </c>
      <c r="I28" s="20">
        <v>4324.0</v>
      </c>
      <c r="J28" s="20">
        <v>3286.0</v>
      </c>
      <c r="K28" s="20">
        <v>1038.0</v>
      </c>
      <c r="L28" s="20">
        <v>3.0</v>
      </c>
      <c r="M28" s="20">
        <v>3534.0</v>
      </c>
      <c r="N28" s="20">
        <v>2311.0</v>
      </c>
      <c r="O28" s="20">
        <v>1223.0</v>
      </c>
      <c r="P28" s="20"/>
      <c r="Q28" s="20">
        <v>0.0</v>
      </c>
      <c r="R28" s="28" t="s">
        <v>42</v>
      </c>
      <c r="S28" s="20">
        <v>8.0</v>
      </c>
      <c r="T28" s="20">
        <f>vlookup(S28,Superbowls!$A$2:$B$115,2,FALSE)</f>
        <v>2017</v>
      </c>
      <c r="U28" s="28" t="s">
        <v>36</v>
      </c>
    </row>
    <row r="29" ht="15.0" customHeight="1">
      <c r="A29" s="20" t="s">
        <v>107</v>
      </c>
      <c r="B29" s="20">
        <v>8.0</v>
      </c>
      <c r="C29" s="20">
        <v>7.0</v>
      </c>
      <c r="D29" s="20">
        <v>1.0</v>
      </c>
      <c r="E29" s="20">
        <v>419.0</v>
      </c>
      <c r="F29" s="20">
        <v>330.0</v>
      </c>
      <c r="G29" s="13">
        <f t="shared" si="1"/>
        <v>89</v>
      </c>
      <c r="H29" s="20">
        <v>23.0</v>
      </c>
      <c r="I29" s="20">
        <v>4245.0</v>
      </c>
      <c r="J29" s="20">
        <v>3593.0</v>
      </c>
      <c r="K29" s="20">
        <v>652.0</v>
      </c>
      <c r="L29" s="20">
        <v>7.0</v>
      </c>
      <c r="M29" s="20">
        <v>4140.0</v>
      </c>
      <c r="N29" s="20">
        <v>1797.0</v>
      </c>
      <c r="O29" s="20">
        <v>2343.0</v>
      </c>
      <c r="P29" s="20"/>
      <c r="Q29" s="20">
        <v>0.0</v>
      </c>
      <c r="R29" s="28" t="s">
        <v>63</v>
      </c>
      <c r="S29" s="20">
        <v>8.0</v>
      </c>
      <c r="T29" s="20">
        <f>vlookup(S29,Superbowls!$A$2:$B$115,2,FALSE)</f>
        <v>2017</v>
      </c>
      <c r="U29" s="28" t="s">
        <v>36</v>
      </c>
    </row>
    <row r="30">
      <c r="A30" s="20" t="s">
        <v>101</v>
      </c>
      <c r="B30" s="20">
        <v>13.0</v>
      </c>
      <c r="C30" s="20">
        <v>2.0</v>
      </c>
      <c r="D30" s="20">
        <v>1.0</v>
      </c>
      <c r="E30" s="20">
        <v>577.0</v>
      </c>
      <c r="F30" s="20">
        <v>211.0</v>
      </c>
      <c r="G30" s="13">
        <f t="shared" si="1"/>
        <v>366</v>
      </c>
      <c r="H30" s="20">
        <v>1.0</v>
      </c>
      <c r="I30" s="20">
        <v>5426.0</v>
      </c>
      <c r="J30" s="20">
        <v>4413.0</v>
      </c>
      <c r="K30" s="20">
        <v>1013.0</v>
      </c>
      <c r="L30" s="20">
        <v>2.0</v>
      </c>
      <c r="M30" s="20">
        <v>3224.0</v>
      </c>
      <c r="N30" s="20">
        <v>1620.0</v>
      </c>
      <c r="O30" s="20">
        <v>1604.0</v>
      </c>
      <c r="P30" s="20"/>
      <c r="Q30" s="20">
        <v>1.0</v>
      </c>
      <c r="R30" s="28" t="s">
        <v>71</v>
      </c>
      <c r="S30" s="27">
        <v>9.0</v>
      </c>
      <c r="T30" s="20">
        <f>vlookup(S30,Superbowls!$A$2:$B$115,2,FALSE)</f>
        <v>2017</v>
      </c>
      <c r="U30" s="28" t="s">
        <v>36</v>
      </c>
    </row>
    <row r="31">
      <c r="A31" s="20" t="s">
        <v>90</v>
      </c>
      <c r="B31" s="20">
        <v>11.0</v>
      </c>
      <c r="C31" s="20">
        <v>4.0</v>
      </c>
      <c r="D31" s="20">
        <v>1.0</v>
      </c>
      <c r="E31" s="20">
        <v>485.0</v>
      </c>
      <c r="F31" s="20">
        <v>233.0</v>
      </c>
      <c r="G31" s="20">
        <v>233.0</v>
      </c>
      <c r="H31" s="20">
        <v>9.0</v>
      </c>
      <c r="I31" s="20">
        <v>4590.0</v>
      </c>
      <c r="J31" s="20">
        <v>2167.0</v>
      </c>
      <c r="K31" s="20">
        <v>2423.0</v>
      </c>
      <c r="L31" s="20">
        <v>1.0</v>
      </c>
      <c r="M31" s="20">
        <v>3182.0</v>
      </c>
      <c r="N31" s="20">
        <v>1471.0</v>
      </c>
      <c r="O31" s="20">
        <v>1711.0</v>
      </c>
      <c r="P31" s="20"/>
      <c r="Q31" s="20">
        <v>0.0</v>
      </c>
      <c r="R31" s="28" t="s">
        <v>30</v>
      </c>
      <c r="S31" s="27">
        <v>9.0</v>
      </c>
      <c r="T31" s="20">
        <f>vlookup(S31,Superbowls!$A$2:$B$115,2,FALSE)</f>
        <v>2017</v>
      </c>
      <c r="U31" s="28" t="s">
        <v>36</v>
      </c>
    </row>
    <row r="32">
      <c r="A32" s="20" t="s">
        <v>145</v>
      </c>
      <c r="B32" s="20">
        <v>10.0</v>
      </c>
      <c r="C32" s="20">
        <v>6.0</v>
      </c>
      <c r="D32" s="20">
        <v>0.0</v>
      </c>
      <c r="E32" s="20">
        <v>354.0</v>
      </c>
      <c r="F32" s="20">
        <v>215.0</v>
      </c>
      <c r="G32" s="13">
        <f t="shared" ref="G32:G74" si="2">E32-F32</f>
        <v>139</v>
      </c>
      <c r="H32" s="20">
        <v>13.0</v>
      </c>
      <c r="I32" s="20">
        <v>4429.0</v>
      </c>
      <c r="J32" s="20">
        <v>3861.0</v>
      </c>
      <c r="K32" s="20">
        <v>568.0</v>
      </c>
      <c r="L32" s="20">
        <v>3.0</v>
      </c>
      <c r="M32" s="20">
        <v>3232.0</v>
      </c>
      <c r="N32" s="20">
        <v>1614.0</v>
      </c>
      <c r="O32" s="20">
        <v>1618.0</v>
      </c>
      <c r="P32" s="20"/>
      <c r="Q32" s="20">
        <v>0.0</v>
      </c>
      <c r="R32" s="28" t="s">
        <v>63</v>
      </c>
      <c r="S32" s="27">
        <v>9.0</v>
      </c>
      <c r="T32" s="20">
        <f>vlookup(S32,Superbowls!$A$2:$B$115,2,FALSE)</f>
        <v>2017</v>
      </c>
      <c r="U32" s="28" t="s">
        <v>36</v>
      </c>
    </row>
    <row r="33">
      <c r="A33" s="20" t="s">
        <v>93</v>
      </c>
      <c r="B33" s="20">
        <v>9.0</v>
      </c>
      <c r="C33" s="20">
        <v>7.0</v>
      </c>
      <c r="D33" s="20">
        <v>0.0</v>
      </c>
      <c r="E33" s="20">
        <v>393.0</v>
      </c>
      <c r="F33" s="20">
        <v>379.0</v>
      </c>
      <c r="G33" s="13">
        <f t="shared" si="2"/>
        <v>14</v>
      </c>
      <c r="H33" s="20">
        <v>19.0</v>
      </c>
      <c r="I33" s="20">
        <v>4109.0</v>
      </c>
      <c r="J33" s="20">
        <v>2650.0</v>
      </c>
      <c r="K33" s="20">
        <v>1459.0</v>
      </c>
      <c r="L33" s="20">
        <v>6.0</v>
      </c>
      <c r="M33" s="20">
        <v>4001.0</v>
      </c>
      <c r="N33" s="20">
        <v>2253.0</v>
      </c>
      <c r="O33" s="20">
        <v>1748.0</v>
      </c>
      <c r="P33" s="20"/>
      <c r="Q33" s="20">
        <v>0.0</v>
      </c>
      <c r="R33" s="28" t="s">
        <v>42</v>
      </c>
      <c r="S33" s="27">
        <v>9.0</v>
      </c>
      <c r="T33" s="20">
        <f>vlookup(S33,Superbowls!$A$2:$B$115,2,FALSE)</f>
        <v>2017</v>
      </c>
      <c r="U33" s="28" t="s">
        <v>36</v>
      </c>
    </row>
    <row r="34">
      <c r="A34" s="20" t="s">
        <v>62</v>
      </c>
      <c r="B34" s="20">
        <v>13.0</v>
      </c>
      <c r="C34" s="20">
        <v>3.0</v>
      </c>
      <c r="D34" s="20">
        <v>0.0</v>
      </c>
      <c r="E34" s="20">
        <v>599.0</v>
      </c>
      <c r="F34" s="20">
        <v>124.0</v>
      </c>
      <c r="G34" s="13">
        <f t="shared" si="2"/>
        <v>475</v>
      </c>
      <c r="H34" s="20">
        <v>6.0</v>
      </c>
      <c r="I34" s="20">
        <v>4999.0</v>
      </c>
      <c r="J34" s="20">
        <v>3388.0</v>
      </c>
      <c r="K34" s="20">
        <v>1611.0</v>
      </c>
      <c r="L34" s="20">
        <v>1.0</v>
      </c>
      <c r="M34" s="20">
        <v>2444.0</v>
      </c>
      <c r="N34" s="20">
        <v>1267.0</v>
      </c>
      <c r="O34" s="20">
        <v>1177.0</v>
      </c>
      <c r="P34" s="20" t="s">
        <v>562</v>
      </c>
      <c r="Q34" s="20">
        <v>0.0</v>
      </c>
      <c r="R34" s="28" t="s">
        <v>30</v>
      </c>
      <c r="S34" s="27">
        <v>10.0</v>
      </c>
      <c r="T34" s="20">
        <f>vlookup(S34,Superbowls!$A$2:$B$115,2,FALSE)</f>
        <v>2018</v>
      </c>
      <c r="U34" s="28" t="s">
        <v>36</v>
      </c>
    </row>
    <row r="35">
      <c r="A35" s="20" t="s">
        <v>89</v>
      </c>
      <c r="B35" s="20">
        <v>15.0</v>
      </c>
      <c r="C35" s="20">
        <v>1.0</v>
      </c>
      <c r="D35" s="20">
        <v>0.0</v>
      </c>
      <c r="E35" s="20">
        <v>591.0</v>
      </c>
      <c r="F35" s="20">
        <v>182.0</v>
      </c>
      <c r="G35" s="13">
        <f t="shared" si="2"/>
        <v>409</v>
      </c>
      <c r="H35" s="20">
        <v>3.0</v>
      </c>
      <c r="I35" s="20">
        <v>5316.0</v>
      </c>
      <c r="J35" s="20">
        <v>4785.0</v>
      </c>
      <c r="K35" s="20">
        <v>531.0</v>
      </c>
      <c r="L35" s="20">
        <v>4.0</v>
      </c>
      <c r="M35" s="20">
        <v>3757.0</v>
      </c>
      <c r="N35" s="20">
        <v>1930.0</v>
      </c>
      <c r="O35" s="20">
        <v>1827.0</v>
      </c>
      <c r="P35" s="20"/>
      <c r="Q35" s="20">
        <v>0.0</v>
      </c>
      <c r="R35" s="28" t="s">
        <v>71</v>
      </c>
      <c r="S35" s="27">
        <v>10.0</v>
      </c>
      <c r="T35" s="20">
        <f>vlookup(S35,Superbowls!$A$2:$B$115,2,FALSE)</f>
        <v>2018</v>
      </c>
      <c r="U35" s="28" t="s">
        <v>36</v>
      </c>
    </row>
    <row r="36">
      <c r="A36" s="20" t="s">
        <v>34</v>
      </c>
      <c r="B36" s="20">
        <v>14.0</v>
      </c>
      <c r="C36" s="20">
        <v>2.0</v>
      </c>
      <c r="D36" s="20">
        <v>0.0</v>
      </c>
      <c r="E36" s="20">
        <v>543.0</v>
      </c>
      <c r="F36" s="20">
        <v>205.0</v>
      </c>
      <c r="G36" s="13">
        <f t="shared" si="2"/>
        <v>338</v>
      </c>
      <c r="H36" s="20">
        <v>7.0</v>
      </c>
      <c r="I36" s="20">
        <v>4943.0</v>
      </c>
      <c r="J36" s="20">
        <v>2349.0</v>
      </c>
      <c r="K36" s="20">
        <v>2594.0</v>
      </c>
      <c r="L36" s="20">
        <v>2.0</v>
      </c>
      <c r="M36" s="20">
        <v>3468.0</v>
      </c>
      <c r="N36" s="20">
        <v>2259.0</v>
      </c>
      <c r="O36" s="20">
        <v>1209.0</v>
      </c>
      <c r="P36" s="20"/>
      <c r="Q36" s="20">
        <v>0.0</v>
      </c>
      <c r="R36" s="28" t="s">
        <v>35</v>
      </c>
      <c r="S36" s="27">
        <v>10.0</v>
      </c>
      <c r="T36" s="20">
        <f>vlookup(S36,Superbowls!$A$2:$B$115,2,FALSE)</f>
        <v>2018</v>
      </c>
      <c r="U36" s="28" t="s">
        <v>36</v>
      </c>
    </row>
    <row r="37">
      <c r="A37" s="20" t="s">
        <v>81</v>
      </c>
      <c r="B37" s="20">
        <v>14.0</v>
      </c>
      <c r="C37" s="20">
        <v>2.0</v>
      </c>
      <c r="D37" s="20">
        <v>0.0</v>
      </c>
      <c r="E37" s="20">
        <v>633.0</v>
      </c>
      <c r="F37" s="20">
        <v>298.0</v>
      </c>
      <c r="G37" s="13">
        <f t="shared" si="2"/>
        <v>335</v>
      </c>
      <c r="H37" s="20">
        <v>2.0</v>
      </c>
      <c r="I37" s="20">
        <v>5643.0</v>
      </c>
      <c r="J37" s="20">
        <v>4939.0</v>
      </c>
      <c r="K37" s="20">
        <v>704.0</v>
      </c>
      <c r="L37" s="20">
        <v>6.0</v>
      </c>
      <c r="M37" s="20">
        <v>4101.0</v>
      </c>
      <c r="N37" s="20">
        <v>1579.0</v>
      </c>
      <c r="O37" s="20">
        <v>2522.0</v>
      </c>
      <c r="P37" s="20"/>
      <c r="Q37" s="20">
        <v>1.0</v>
      </c>
      <c r="R37" s="28" t="s">
        <v>63</v>
      </c>
      <c r="S37" s="27">
        <v>10.0</v>
      </c>
      <c r="T37" s="20">
        <f>vlookup(S37,Superbowls!$A$2:$B$115,2,FALSE)</f>
        <v>2018</v>
      </c>
      <c r="U37" s="28" t="s">
        <v>36</v>
      </c>
    </row>
    <row r="38">
      <c r="A38" s="20" t="s">
        <v>156</v>
      </c>
      <c r="B38" s="20">
        <v>12.0</v>
      </c>
      <c r="C38" s="20">
        <v>4.0</v>
      </c>
      <c r="D38" s="20">
        <v>0.0</v>
      </c>
      <c r="E38" s="20">
        <v>569.0</v>
      </c>
      <c r="F38" s="20">
        <v>262.0</v>
      </c>
      <c r="G38" s="13">
        <f t="shared" si="2"/>
        <v>307</v>
      </c>
      <c r="H38" s="20">
        <v>4.0</v>
      </c>
      <c r="I38" s="20">
        <v>5220.0</v>
      </c>
      <c r="J38" s="20">
        <v>4879.0</v>
      </c>
      <c r="K38" s="20">
        <v>341.0</v>
      </c>
      <c r="L38" s="20">
        <v>3.0</v>
      </c>
      <c r="M38" s="20">
        <v>3527.0</v>
      </c>
      <c r="N38" s="20">
        <v>1835.0</v>
      </c>
      <c r="O38" s="20">
        <v>1692.0</v>
      </c>
      <c r="P38" s="20"/>
      <c r="Q38" s="20">
        <v>0.0</v>
      </c>
      <c r="R38" s="28" t="s">
        <v>12</v>
      </c>
      <c r="S38" s="27">
        <v>10.0</v>
      </c>
      <c r="T38" s="20">
        <f>vlookup(S38,Superbowls!$A$2:$B$115,2,FALSE)</f>
        <v>2018</v>
      </c>
      <c r="U38" s="28" t="s">
        <v>36</v>
      </c>
    </row>
    <row r="39">
      <c r="A39" s="20" t="s">
        <v>54</v>
      </c>
      <c r="B39" s="20">
        <v>14.0</v>
      </c>
      <c r="C39" s="20">
        <v>2.0</v>
      </c>
      <c r="D39" s="20">
        <v>0.0</v>
      </c>
      <c r="E39" s="20">
        <v>586.0</v>
      </c>
      <c r="F39" s="20">
        <v>343.0</v>
      </c>
      <c r="G39" s="13">
        <f t="shared" si="2"/>
        <v>243</v>
      </c>
      <c r="H39" s="20">
        <v>1.0</v>
      </c>
      <c r="I39" s="20">
        <v>5965.0</v>
      </c>
      <c r="J39" s="20">
        <v>5859.0</v>
      </c>
      <c r="K39" s="20">
        <v>106.0</v>
      </c>
      <c r="L39" s="20">
        <v>5.0</v>
      </c>
      <c r="M39" s="20">
        <v>3992.0</v>
      </c>
      <c r="N39" s="20">
        <v>2494.0</v>
      </c>
      <c r="O39" s="20">
        <v>1498.0</v>
      </c>
      <c r="P39" s="20"/>
      <c r="Q39" s="20">
        <v>0.0</v>
      </c>
      <c r="R39" s="28" t="s">
        <v>42</v>
      </c>
      <c r="S39" s="27">
        <v>10.0</v>
      </c>
      <c r="T39" s="20">
        <f>vlookup(S39,Superbowls!$A$2:$B$115,2,FALSE)</f>
        <v>2018</v>
      </c>
      <c r="U39" s="28" t="s">
        <v>36</v>
      </c>
    </row>
    <row r="40">
      <c r="A40" s="20" t="s">
        <v>57</v>
      </c>
      <c r="B40" s="20">
        <v>16.0</v>
      </c>
      <c r="C40" s="20">
        <v>0.0</v>
      </c>
      <c r="D40" s="20">
        <v>0.0</v>
      </c>
      <c r="E40" s="20">
        <v>610.0</v>
      </c>
      <c r="F40" s="20">
        <v>245.0</v>
      </c>
      <c r="G40" s="13">
        <f t="shared" si="2"/>
        <v>365</v>
      </c>
      <c r="H40" s="20">
        <v>2.0</v>
      </c>
      <c r="I40" s="20">
        <v>5165.0</v>
      </c>
      <c r="J40" s="20">
        <v>4136.0</v>
      </c>
      <c r="K40" s="20">
        <v>1029.0</v>
      </c>
      <c r="L40" s="20">
        <v>3.0</v>
      </c>
      <c r="M40" s="20">
        <v>3898.0</v>
      </c>
      <c r="N40" s="20">
        <v>1668.0</v>
      </c>
      <c r="O40" s="20">
        <v>2230.0</v>
      </c>
      <c r="P40" s="20"/>
      <c r="Q40" s="20">
        <v>0.0</v>
      </c>
      <c r="R40" s="28" t="s">
        <v>71</v>
      </c>
      <c r="S40" s="27">
        <v>11.0</v>
      </c>
      <c r="T40" s="20">
        <f>vlookup(S40,Superbowls!$A$2:$B$115,2,FALSE)</f>
        <v>2019</v>
      </c>
      <c r="U40" s="28" t="s">
        <v>36</v>
      </c>
    </row>
    <row r="41">
      <c r="A41" s="20" t="s">
        <v>112</v>
      </c>
      <c r="B41" s="20">
        <v>14.0</v>
      </c>
      <c r="C41" s="20">
        <v>2.0</v>
      </c>
      <c r="D41" s="20">
        <v>0.0</v>
      </c>
      <c r="E41" s="20">
        <v>538.0</v>
      </c>
      <c r="F41" s="20">
        <v>183.0</v>
      </c>
      <c r="G41" s="13">
        <f t="shared" si="2"/>
        <v>355</v>
      </c>
      <c r="H41" s="20">
        <v>23.0</v>
      </c>
      <c r="I41" s="20">
        <v>4123.0</v>
      </c>
      <c r="J41" s="20">
        <v>3077.0</v>
      </c>
      <c r="K41" s="20">
        <v>1046.0</v>
      </c>
      <c r="L41" s="20">
        <v>1.0</v>
      </c>
      <c r="M41" s="20">
        <v>3443.0</v>
      </c>
      <c r="N41" s="20">
        <v>1881.0</v>
      </c>
      <c r="O41" s="20">
        <v>1562.0</v>
      </c>
      <c r="P41" s="20"/>
      <c r="Q41" s="20">
        <v>1.0</v>
      </c>
      <c r="R41" s="28" t="s">
        <v>30</v>
      </c>
      <c r="S41" s="27">
        <v>11.0</v>
      </c>
      <c r="T41" s="20">
        <f>vlookup(S41,Superbowls!$A$2:$B$115,2,FALSE)</f>
        <v>2019</v>
      </c>
      <c r="U41" s="28" t="s">
        <v>36</v>
      </c>
    </row>
    <row r="42">
      <c r="A42" s="20" t="s">
        <v>29</v>
      </c>
      <c r="B42" s="20">
        <v>11.0</v>
      </c>
      <c r="C42" s="20">
        <v>5.0</v>
      </c>
      <c r="D42" s="20">
        <v>0.0</v>
      </c>
      <c r="E42" s="20">
        <v>438.0</v>
      </c>
      <c r="F42" s="20">
        <v>252.0</v>
      </c>
      <c r="G42" s="13">
        <f t="shared" si="2"/>
        <v>186</v>
      </c>
      <c r="H42" s="20">
        <v>21.0</v>
      </c>
      <c r="I42" s="20">
        <v>4155.0</v>
      </c>
      <c r="J42" s="20">
        <v>3442.0</v>
      </c>
      <c r="K42" s="20">
        <v>713.0</v>
      </c>
      <c r="L42" s="20">
        <v>4.0</v>
      </c>
      <c r="M42" s="20">
        <v>3933.0</v>
      </c>
      <c r="N42" s="20">
        <v>1628.0</v>
      </c>
      <c r="O42" s="20">
        <v>2305.0</v>
      </c>
      <c r="P42" s="20"/>
      <c r="Q42" s="20">
        <v>0.0</v>
      </c>
      <c r="R42" s="28" t="s">
        <v>42</v>
      </c>
      <c r="S42" s="27">
        <v>11.0</v>
      </c>
      <c r="T42" s="20">
        <f>vlookup(S42,Superbowls!$A$2:$B$115,2,FALSE)</f>
        <v>2019</v>
      </c>
      <c r="U42" s="28" t="s">
        <v>36</v>
      </c>
    </row>
    <row r="43">
      <c r="A43" s="20" t="s">
        <v>107</v>
      </c>
      <c r="B43" s="20">
        <v>12.0</v>
      </c>
      <c r="C43" s="20">
        <v>4.0</v>
      </c>
      <c r="D43" s="20">
        <v>0.0</v>
      </c>
      <c r="E43" s="20">
        <v>400.0</v>
      </c>
      <c r="F43" s="20">
        <v>254.0</v>
      </c>
      <c r="G43" s="13">
        <f t="shared" si="2"/>
        <v>146</v>
      </c>
      <c r="H43" s="20">
        <v>27.0</v>
      </c>
      <c r="I43" s="20">
        <v>3978.0</v>
      </c>
      <c r="J43" s="20">
        <v>2508.0</v>
      </c>
      <c r="K43" s="20">
        <v>1470.0</v>
      </c>
      <c r="L43" s="20">
        <v>2.0</v>
      </c>
      <c r="M43" s="20">
        <v>3743.0</v>
      </c>
      <c r="N43" s="20">
        <v>2014.0</v>
      </c>
      <c r="O43" s="20">
        <v>1729.0</v>
      </c>
      <c r="P43" s="20"/>
      <c r="Q43" s="20">
        <v>0.0</v>
      </c>
      <c r="R43" s="28" t="s">
        <v>35</v>
      </c>
      <c r="S43" s="27">
        <v>11.0</v>
      </c>
      <c r="T43" s="20">
        <f>vlookup(S43,Superbowls!$A$2:$B$115,2,FALSE)</f>
        <v>2019</v>
      </c>
      <c r="U43" s="28" t="s">
        <v>36</v>
      </c>
    </row>
    <row r="44">
      <c r="A44" s="20" t="s">
        <v>101</v>
      </c>
      <c r="B44" s="20">
        <v>15.0</v>
      </c>
      <c r="C44" s="20">
        <v>1.0</v>
      </c>
      <c r="D44" s="20">
        <v>0.0</v>
      </c>
      <c r="E44" s="20">
        <v>464.0</v>
      </c>
      <c r="F44" s="20">
        <v>143.0</v>
      </c>
      <c r="G44" s="13">
        <f t="shared" si="2"/>
        <v>321</v>
      </c>
      <c r="H44" s="20">
        <v>23.0</v>
      </c>
      <c r="I44" s="20">
        <v>4018.0</v>
      </c>
      <c r="J44" s="20">
        <v>2773.0</v>
      </c>
      <c r="K44" s="20">
        <v>1245.0</v>
      </c>
      <c r="L44" s="20">
        <v>2.0</v>
      </c>
      <c r="M44" s="20">
        <v>3129.0</v>
      </c>
      <c r="N44" s="20">
        <v>1396.0</v>
      </c>
      <c r="O44" s="20">
        <v>1733.0</v>
      </c>
      <c r="P44" s="20" t="s">
        <v>607</v>
      </c>
      <c r="Q44" s="20">
        <v>0.0</v>
      </c>
      <c r="R44" s="28" t="s">
        <v>30</v>
      </c>
      <c r="S44" s="20">
        <v>12.0</v>
      </c>
      <c r="T44" s="20">
        <f>vlookup(S44,Superbowls!$A$2:$B$115,2,FALSE)</f>
        <v>2020</v>
      </c>
      <c r="U44" s="28" t="s">
        <v>36</v>
      </c>
    </row>
    <row r="45">
      <c r="A45" s="20" t="s">
        <v>41</v>
      </c>
      <c r="B45" s="20">
        <v>12.0</v>
      </c>
      <c r="C45" s="20">
        <v>4.0</v>
      </c>
      <c r="D45" s="20">
        <v>0.0</v>
      </c>
      <c r="E45" s="20">
        <v>457.0</v>
      </c>
      <c r="F45" s="20">
        <v>254.0</v>
      </c>
      <c r="G45" s="13">
        <f t="shared" si="2"/>
        <v>203</v>
      </c>
      <c r="H45" s="20">
        <v>2.0</v>
      </c>
      <c r="I45" s="20">
        <v>4930.0</v>
      </c>
      <c r="J45" s="20">
        <v>4762.0</v>
      </c>
      <c r="K45" s="20">
        <v>168.0</v>
      </c>
      <c r="L45" s="20">
        <v>4.0</v>
      </c>
      <c r="M45" s="20">
        <v>3518.0</v>
      </c>
      <c r="N45" s="20">
        <v>1859.0</v>
      </c>
      <c r="O45" s="20">
        <v>1659.0</v>
      </c>
      <c r="P45" s="20"/>
      <c r="Q45" s="20">
        <v>0.0</v>
      </c>
      <c r="R45" s="28" t="s">
        <v>71</v>
      </c>
      <c r="S45" s="20">
        <v>12.0</v>
      </c>
      <c r="T45" s="20">
        <f>vlookup(S45,Superbowls!$A$2:$B$115,2,FALSE)</f>
        <v>2020</v>
      </c>
      <c r="U45" s="28" t="s">
        <v>36</v>
      </c>
    </row>
    <row r="46">
      <c r="A46" s="20" t="s">
        <v>121</v>
      </c>
      <c r="B46" s="20">
        <v>12.0</v>
      </c>
      <c r="C46" s="20">
        <v>4.0</v>
      </c>
      <c r="D46" s="20">
        <v>0.0</v>
      </c>
      <c r="E46" s="20">
        <v>435.0</v>
      </c>
      <c r="F46" s="20">
        <v>255.0</v>
      </c>
      <c r="G46" s="13">
        <f t="shared" si="2"/>
        <v>180</v>
      </c>
      <c r="H46" s="20">
        <v>25.0</v>
      </c>
      <c r="I46" s="20">
        <v>3980.0</v>
      </c>
      <c r="J46" s="20">
        <v>3339.0</v>
      </c>
      <c r="K46" s="20">
        <v>641.0</v>
      </c>
      <c r="L46" s="20">
        <v>5.0</v>
      </c>
      <c r="M46" s="20">
        <v>3879.0</v>
      </c>
      <c r="N46" s="20">
        <v>1932.0</v>
      </c>
      <c r="O46" s="20">
        <v>1947.0</v>
      </c>
      <c r="P46" s="20"/>
      <c r="Q46" s="20">
        <v>0.0</v>
      </c>
      <c r="R46" s="28" t="s">
        <v>63</v>
      </c>
      <c r="S46" s="20">
        <v>12.0</v>
      </c>
      <c r="T46" s="20">
        <f>vlookup(S46,Superbowls!$A$2:$B$115,2,FALSE)</f>
        <v>2020</v>
      </c>
      <c r="U46" s="28" t="s">
        <v>36</v>
      </c>
    </row>
    <row r="47">
      <c r="A47" s="20" t="s">
        <v>161</v>
      </c>
      <c r="B47" s="20">
        <v>11.0</v>
      </c>
      <c r="C47" s="20">
        <v>5.0</v>
      </c>
      <c r="D47" s="20">
        <v>0.0</v>
      </c>
      <c r="E47" s="20">
        <v>313.0</v>
      </c>
      <c r="F47" s="20">
        <v>176.0</v>
      </c>
      <c r="G47" s="13">
        <f t="shared" si="2"/>
        <v>137</v>
      </c>
      <c r="H47" s="20">
        <v>28.0</v>
      </c>
      <c r="I47" s="20">
        <v>2713.0</v>
      </c>
      <c r="J47" s="20">
        <v>1193.0</v>
      </c>
      <c r="K47" s="20">
        <v>1520.0</v>
      </c>
      <c r="L47" s="20">
        <v>1.0</v>
      </c>
      <c r="M47" s="20">
        <v>3032.0</v>
      </c>
      <c r="N47" s="20">
        <v>1579.0</v>
      </c>
      <c r="O47" s="20">
        <v>1453.0</v>
      </c>
      <c r="P47" s="20"/>
      <c r="Q47" s="20">
        <v>0.0</v>
      </c>
      <c r="R47" s="28" t="s">
        <v>42</v>
      </c>
      <c r="S47" s="20">
        <v>12.0</v>
      </c>
      <c r="T47" s="20">
        <f>vlookup(S47,Superbowls!$A$2:$B$115,2,FALSE)</f>
        <v>2020</v>
      </c>
      <c r="U47" s="28" t="s">
        <v>36</v>
      </c>
    </row>
    <row r="48">
      <c r="A48" s="20" t="s">
        <v>34</v>
      </c>
      <c r="B48" s="20">
        <v>16.0</v>
      </c>
      <c r="C48" s="20">
        <v>0.0</v>
      </c>
      <c r="D48" s="20">
        <v>0.0</v>
      </c>
      <c r="E48" s="20">
        <v>777.0</v>
      </c>
      <c r="F48" s="20">
        <v>122.0</v>
      </c>
      <c r="G48" s="13">
        <f t="shared" si="2"/>
        <v>655</v>
      </c>
      <c r="H48" s="20">
        <v>2.0</v>
      </c>
      <c r="I48" s="20">
        <v>5808.0</v>
      </c>
      <c r="J48" s="20">
        <v>1217.0</v>
      </c>
      <c r="K48" s="20">
        <v>4591.0</v>
      </c>
      <c r="L48" s="20">
        <v>1.0</v>
      </c>
      <c r="M48" s="20">
        <v>2697.0</v>
      </c>
      <c r="N48" s="20">
        <v>1818.0</v>
      </c>
      <c r="O48" s="20">
        <v>879.0</v>
      </c>
      <c r="P48" s="20"/>
      <c r="Q48" s="20">
        <v>1.0</v>
      </c>
      <c r="R48" s="28" t="s">
        <v>30</v>
      </c>
      <c r="S48" s="20">
        <v>13.0</v>
      </c>
      <c r="T48" s="20">
        <f>vlookup(S48,Superbowls!$A$2:$B$115,2,FALSE)</f>
        <v>2021</v>
      </c>
      <c r="U48" s="28" t="s">
        <v>36</v>
      </c>
    </row>
    <row r="49">
      <c r="A49" s="20" t="s">
        <v>29</v>
      </c>
      <c r="B49" s="20">
        <v>16.0</v>
      </c>
      <c r="C49" s="20">
        <v>0.0</v>
      </c>
      <c r="D49" s="20">
        <v>0.0</v>
      </c>
      <c r="E49" s="20">
        <v>818.0</v>
      </c>
      <c r="F49" s="20">
        <v>235.0</v>
      </c>
      <c r="G49" s="13">
        <f t="shared" si="2"/>
        <v>583</v>
      </c>
      <c r="H49" s="20">
        <v>1.0</v>
      </c>
      <c r="I49" s="20">
        <v>6846.0</v>
      </c>
      <c r="J49" s="20">
        <v>6743.0</v>
      </c>
      <c r="K49" s="20">
        <v>103.0</v>
      </c>
      <c r="L49" s="20">
        <v>3.0</v>
      </c>
      <c r="M49" s="20">
        <v>3580.0</v>
      </c>
      <c r="N49" s="20">
        <v>1694.0</v>
      </c>
      <c r="O49" s="20">
        <v>1886.0</v>
      </c>
      <c r="P49" s="20"/>
      <c r="Q49" s="20">
        <v>0.0</v>
      </c>
      <c r="R49" s="28" t="s">
        <v>71</v>
      </c>
      <c r="S49" s="20">
        <v>13.0</v>
      </c>
      <c r="T49" s="20">
        <f>vlookup(S49,Superbowls!$A$2:$B$115,2,FALSE)</f>
        <v>2021</v>
      </c>
      <c r="U49" s="28" t="s">
        <v>36</v>
      </c>
    </row>
    <row r="50">
      <c r="A50" s="20" t="s">
        <v>62</v>
      </c>
      <c r="B50" s="20">
        <v>14.0</v>
      </c>
      <c r="C50" s="20">
        <v>2.0</v>
      </c>
      <c r="D50" s="20">
        <v>0.0</v>
      </c>
      <c r="E50" s="20">
        <v>585.0</v>
      </c>
      <c r="F50" s="20">
        <v>180.0</v>
      </c>
      <c r="G50" s="13">
        <f t="shared" si="2"/>
        <v>405</v>
      </c>
      <c r="H50" s="20">
        <v>4.0</v>
      </c>
      <c r="I50" s="20">
        <v>5028.0</v>
      </c>
      <c r="J50" s="20">
        <v>2972.0</v>
      </c>
      <c r="K50" s="20">
        <v>2056.0</v>
      </c>
      <c r="L50" s="20">
        <v>2.0</v>
      </c>
      <c r="M50" s="20">
        <v>3098.0</v>
      </c>
      <c r="N50" s="20">
        <v>1339.0</v>
      </c>
      <c r="O50" s="20">
        <v>1759.0</v>
      </c>
      <c r="P50" s="20"/>
      <c r="Q50" s="20">
        <v>0.0</v>
      </c>
      <c r="R50" s="28" t="s">
        <v>42</v>
      </c>
      <c r="S50" s="20">
        <v>13.0</v>
      </c>
      <c r="T50" s="20">
        <f>vlookup(S50,Superbowls!$A$2:$B$115,2,FALSE)</f>
        <v>2021</v>
      </c>
      <c r="U50" s="28" t="s">
        <v>36</v>
      </c>
    </row>
    <row r="51">
      <c r="A51" s="20" t="s">
        <v>57</v>
      </c>
      <c r="B51" s="20">
        <v>14.0</v>
      </c>
      <c r="C51" s="20">
        <v>2.0</v>
      </c>
      <c r="D51" s="20">
        <v>0.0</v>
      </c>
      <c r="E51" s="20">
        <v>553.0</v>
      </c>
      <c r="F51" s="20">
        <v>182.0</v>
      </c>
      <c r="G51" s="13">
        <f t="shared" si="2"/>
        <v>371</v>
      </c>
      <c r="H51" s="20">
        <v>8.0</v>
      </c>
      <c r="I51" s="20">
        <v>4725.0</v>
      </c>
      <c r="J51" s="20">
        <v>2945.0</v>
      </c>
      <c r="K51" s="20">
        <v>1780.0</v>
      </c>
      <c r="L51" s="20">
        <v>3.0</v>
      </c>
      <c r="M51" s="20">
        <v>3226.0</v>
      </c>
      <c r="N51" s="20">
        <v>1973.0</v>
      </c>
      <c r="O51" s="20">
        <v>1253.0</v>
      </c>
      <c r="P51" s="20"/>
      <c r="Q51" s="20">
        <v>0.0</v>
      </c>
      <c r="R51" s="28" t="s">
        <v>71</v>
      </c>
      <c r="S51" s="20">
        <v>14.0</v>
      </c>
      <c r="T51" s="20">
        <f>vlookup(S51,Superbowls!$A$2:$B$115,2,FALSE)</f>
        <v>2022</v>
      </c>
      <c r="U51" s="28" t="s">
        <v>36</v>
      </c>
    </row>
    <row r="52">
      <c r="A52" s="20" t="s">
        <v>107</v>
      </c>
      <c r="B52" s="20">
        <v>15.0</v>
      </c>
      <c r="C52" s="20">
        <v>1.0</v>
      </c>
      <c r="D52" s="20">
        <v>0.0</v>
      </c>
      <c r="E52" s="20">
        <v>471.0</v>
      </c>
      <c r="F52" s="20">
        <v>210.0</v>
      </c>
      <c r="G52" s="13">
        <f t="shared" si="2"/>
        <v>261</v>
      </c>
      <c r="H52" s="20">
        <v>23.0</v>
      </c>
      <c r="I52" s="20">
        <v>4005.0</v>
      </c>
      <c r="J52" s="20">
        <v>2831.0</v>
      </c>
      <c r="K52" s="20">
        <v>1174.0</v>
      </c>
      <c r="L52" s="20">
        <v>2.0</v>
      </c>
      <c r="M52" s="20">
        <v>3058.0</v>
      </c>
      <c r="N52" s="20">
        <v>1568.0</v>
      </c>
      <c r="O52" s="20">
        <v>1490.0</v>
      </c>
      <c r="P52" s="20"/>
      <c r="Q52" s="20">
        <v>1.0</v>
      </c>
      <c r="R52" s="28" t="s">
        <v>30</v>
      </c>
      <c r="S52" s="20">
        <v>14.0</v>
      </c>
      <c r="T52" s="20">
        <f>vlookup(S52,Superbowls!$A$2:$B$115,2,FALSE)</f>
        <v>2022</v>
      </c>
      <c r="U52" s="28" t="s">
        <v>36</v>
      </c>
    </row>
    <row r="53">
      <c r="A53" s="20" t="s">
        <v>121</v>
      </c>
      <c r="B53" s="20">
        <v>12.0</v>
      </c>
      <c r="C53" s="20">
        <v>4.0</v>
      </c>
      <c r="D53" s="20">
        <v>0.0</v>
      </c>
      <c r="E53" s="20">
        <v>380.0</v>
      </c>
      <c r="F53" s="20">
        <v>189.0</v>
      </c>
      <c r="G53" s="13">
        <f t="shared" si="2"/>
        <v>191</v>
      </c>
      <c r="H53" s="20">
        <v>22.0</v>
      </c>
      <c r="I53" s="20">
        <v>4077.0</v>
      </c>
      <c r="J53" s="20">
        <v>3148.0</v>
      </c>
      <c r="K53" s="20">
        <v>929.0</v>
      </c>
      <c r="L53" s="20">
        <v>1.0</v>
      </c>
      <c r="M53" s="20">
        <v>3013.0</v>
      </c>
      <c r="N53" s="20">
        <v>1587.0</v>
      </c>
      <c r="O53" s="20">
        <v>1426.0</v>
      </c>
      <c r="P53" s="20"/>
      <c r="Q53" s="20">
        <v>0.0</v>
      </c>
      <c r="R53" s="28" t="s">
        <v>63</v>
      </c>
      <c r="S53" s="20">
        <v>14.0</v>
      </c>
      <c r="T53" s="20">
        <f>vlookup(S53,Superbowls!$A$2:$B$115,2,FALSE)</f>
        <v>2022</v>
      </c>
      <c r="U53" s="28" t="s">
        <v>36</v>
      </c>
    </row>
    <row r="54">
      <c r="A54" s="20" t="s">
        <v>131</v>
      </c>
      <c r="B54" s="20">
        <v>12.0</v>
      </c>
      <c r="C54" s="20">
        <v>4.0</v>
      </c>
      <c r="D54" s="20">
        <v>0.0</v>
      </c>
      <c r="E54" s="20">
        <v>338.0</v>
      </c>
      <c r="F54" s="20">
        <v>263.0</v>
      </c>
      <c r="G54" s="13">
        <f t="shared" si="2"/>
        <v>75</v>
      </c>
      <c r="H54" s="20">
        <v>26.0</v>
      </c>
      <c r="I54" s="20">
        <v>3633.0</v>
      </c>
      <c r="J54" s="20">
        <v>3027.0</v>
      </c>
      <c r="K54" s="20">
        <v>606.0</v>
      </c>
      <c r="L54" s="20">
        <v>5.0</v>
      </c>
      <c r="M54" s="20">
        <v>3500.0</v>
      </c>
      <c r="N54" s="20">
        <v>2011.0</v>
      </c>
      <c r="O54" s="20">
        <v>1489.0</v>
      </c>
      <c r="P54" s="20"/>
      <c r="Q54" s="20">
        <v>0.0</v>
      </c>
      <c r="R54" s="28" t="s">
        <v>35</v>
      </c>
      <c r="S54" s="20">
        <v>14.0</v>
      </c>
      <c r="T54" s="20">
        <f>vlookup(S54,Superbowls!$A$2:$B$115,2,FALSE)</f>
        <v>2022</v>
      </c>
      <c r="U54" s="28" t="s">
        <v>36</v>
      </c>
    </row>
    <row r="55">
      <c r="A55" s="20" t="s">
        <v>114</v>
      </c>
      <c r="B55" s="20">
        <v>10.0</v>
      </c>
      <c r="C55" s="20">
        <v>6.0</v>
      </c>
      <c r="D55" s="20">
        <v>0.0</v>
      </c>
      <c r="E55" s="20">
        <v>283.0</v>
      </c>
      <c r="F55" s="20">
        <v>261.0</v>
      </c>
      <c r="G55" s="13">
        <f t="shared" si="2"/>
        <v>22</v>
      </c>
      <c r="H55" s="20">
        <v>28.0</v>
      </c>
      <c r="I55" s="20">
        <v>2970.0</v>
      </c>
      <c r="J55" s="20">
        <v>2431.0</v>
      </c>
      <c r="K55" s="20">
        <v>539.0</v>
      </c>
      <c r="L55" s="20">
        <v>4.0</v>
      </c>
      <c r="M55" s="20">
        <v>3493.0</v>
      </c>
      <c r="N55" s="20">
        <v>1883.0</v>
      </c>
      <c r="O55" s="20">
        <v>1610.0</v>
      </c>
      <c r="P55" s="20"/>
      <c r="Q55" s="20">
        <v>0.0</v>
      </c>
      <c r="R55" s="28" t="s">
        <v>42</v>
      </c>
      <c r="S55" s="20">
        <v>14.0</v>
      </c>
      <c r="T55" s="20">
        <f>vlookup(S55,Superbowls!$A$2:$B$115,2,FALSE)</f>
        <v>2022</v>
      </c>
      <c r="U55" s="28" t="s">
        <v>36</v>
      </c>
    </row>
    <row r="56">
      <c r="A56" s="20" t="s">
        <v>70</v>
      </c>
      <c r="B56" s="20">
        <v>14.0</v>
      </c>
      <c r="C56" s="20">
        <v>2.0</v>
      </c>
      <c r="D56" s="20">
        <v>0.0</v>
      </c>
      <c r="E56" s="20">
        <v>529.0</v>
      </c>
      <c r="F56" s="20">
        <v>236.0</v>
      </c>
      <c r="G56" s="13">
        <f t="shared" si="2"/>
        <v>293</v>
      </c>
      <c r="H56" s="20">
        <v>3.0</v>
      </c>
      <c r="I56" s="20">
        <v>4962.0</v>
      </c>
      <c r="J56" s="20">
        <v>2750.0</v>
      </c>
      <c r="K56" s="20">
        <v>2212.0</v>
      </c>
      <c r="L56" s="20">
        <v>2.0</v>
      </c>
      <c r="M56" s="20">
        <v>3400.0</v>
      </c>
      <c r="N56" s="20">
        <v>1660.0</v>
      </c>
      <c r="O56" s="20">
        <v>1740.0</v>
      </c>
      <c r="P56" s="20" t="s">
        <v>702</v>
      </c>
      <c r="Q56" s="20">
        <v>0.0</v>
      </c>
      <c r="R56" s="28" t="s">
        <v>71</v>
      </c>
      <c r="S56" s="20">
        <v>15.0</v>
      </c>
      <c r="T56" s="20">
        <f>vlookup(S56,Superbowls!$A$2:$B$115,2,FALSE)</f>
        <v>2023</v>
      </c>
      <c r="U56" s="28" t="s">
        <v>36</v>
      </c>
    </row>
    <row r="57">
      <c r="A57" s="20" t="s">
        <v>47</v>
      </c>
      <c r="B57" s="20">
        <v>13.0</v>
      </c>
      <c r="C57" s="20">
        <v>3.0</v>
      </c>
      <c r="D57" s="20">
        <v>0.0</v>
      </c>
      <c r="E57" s="20">
        <v>433.0</v>
      </c>
      <c r="F57" s="20">
        <v>249.0</v>
      </c>
      <c r="G57" s="13">
        <f t="shared" si="2"/>
        <v>184</v>
      </c>
      <c r="H57" s="20">
        <v>16.0</v>
      </c>
      <c r="I57" s="20">
        <v>4331.0</v>
      </c>
      <c r="J57" s="20">
        <v>2066.0</v>
      </c>
      <c r="K57" s="20">
        <v>2265.0</v>
      </c>
      <c r="L57" s="20">
        <v>4.0</v>
      </c>
      <c r="M57" s="20">
        <v>3745.0</v>
      </c>
      <c r="N57" s="20">
        <v>1926.0</v>
      </c>
      <c r="O57" s="20">
        <v>1819.0</v>
      </c>
      <c r="P57" s="20" t="s">
        <v>705</v>
      </c>
      <c r="Q57" s="20">
        <v>1.0</v>
      </c>
      <c r="R57" s="28" t="s">
        <v>42</v>
      </c>
      <c r="S57" s="20">
        <v>15.0</v>
      </c>
      <c r="T57" s="20">
        <f>vlookup(S57,Superbowls!$A$2:$B$115,2,FALSE)</f>
        <v>2023</v>
      </c>
      <c r="U57" s="28" t="s">
        <v>36</v>
      </c>
    </row>
    <row r="58">
      <c r="A58" s="20" t="s">
        <v>161</v>
      </c>
      <c r="B58" s="20">
        <v>14.0</v>
      </c>
      <c r="C58" s="20">
        <v>2.0</v>
      </c>
      <c r="D58" s="20">
        <v>0.0</v>
      </c>
      <c r="E58" s="20">
        <v>440.0</v>
      </c>
      <c r="F58" s="20">
        <v>114.0</v>
      </c>
      <c r="G58" s="13">
        <f t="shared" si="2"/>
        <v>326</v>
      </c>
      <c r="H58" s="20">
        <v>28.0</v>
      </c>
      <c r="I58" s="20">
        <v>3263.0</v>
      </c>
      <c r="J58" s="20">
        <v>1656.0</v>
      </c>
      <c r="K58" s="20">
        <v>1607.0</v>
      </c>
      <c r="L58" s="20">
        <v>1.0</v>
      </c>
      <c r="M58" s="20">
        <v>2392.0</v>
      </c>
      <c r="N58" s="20">
        <v>1494.0</v>
      </c>
      <c r="O58" s="20">
        <v>898.0</v>
      </c>
      <c r="P58" s="20" t="s">
        <v>707</v>
      </c>
      <c r="Q58" s="20">
        <v>0.0</v>
      </c>
      <c r="R58" s="28" t="s">
        <v>30</v>
      </c>
      <c r="S58" s="20">
        <v>15.0</v>
      </c>
      <c r="T58" s="20">
        <f>vlookup(S58,Superbowls!$A$2:$B$115,2,FALSE)</f>
        <v>2023</v>
      </c>
      <c r="U58" s="28" t="s">
        <v>36</v>
      </c>
    </row>
    <row r="59">
      <c r="A59" s="20" t="s">
        <v>112</v>
      </c>
      <c r="B59" s="20">
        <v>14.0</v>
      </c>
      <c r="C59" s="20">
        <v>2.0</v>
      </c>
      <c r="D59" s="20">
        <v>0.0</v>
      </c>
      <c r="E59" s="20">
        <v>428.0</v>
      </c>
      <c r="F59" s="20">
        <v>203.0</v>
      </c>
      <c r="G59" s="13">
        <f t="shared" si="2"/>
        <v>225</v>
      </c>
      <c r="H59" s="20">
        <v>4.0</v>
      </c>
      <c r="I59" s="20">
        <v>4952.0</v>
      </c>
      <c r="J59" s="20">
        <v>3731.0</v>
      </c>
      <c r="K59" s="20">
        <v>1221.0</v>
      </c>
      <c r="L59" s="20">
        <v>3.0</v>
      </c>
      <c r="M59" s="20">
        <v>3667.0</v>
      </c>
      <c r="N59" s="20">
        <v>1899.0</v>
      </c>
      <c r="O59" s="20">
        <v>1768.0</v>
      </c>
      <c r="P59" s="20" t="s">
        <v>708</v>
      </c>
      <c r="Q59" s="20">
        <v>0.0</v>
      </c>
      <c r="R59" s="28" t="s">
        <v>35</v>
      </c>
      <c r="S59" s="20">
        <v>15.0</v>
      </c>
      <c r="T59" s="20">
        <f>vlookup(S59,Superbowls!$A$2:$B$115,2,FALSE)</f>
        <v>2023</v>
      </c>
      <c r="U59" s="28" t="s">
        <v>36</v>
      </c>
    </row>
    <row r="60">
      <c r="A60" s="20" t="s">
        <v>81</v>
      </c>
      <c r="B60" s="20">
        <v>16.0</v>
      </c>
      <c r="C60" s="20">
        <v>0.0</v>
      </c>
      <c r="D60" s="20">
        <v>0.0</v>
      </c>
      <c r="E60" s="20">
        <v>595.0</v>
      </c>
      <c r="F60" s="20">
        <v>94.0</v>
      </c>
      <c r="G60" s="13">
        <f t="shared" si="2"/>
        <v>501</v>
      </c>
      <c r="H60" s="20">
        <v>6.0</v>
      </c>
      <c r="I60" s="20">
        <v>4673.0</v>
      </c>
      <c r="J60" s="20">
        <v>2519.0</v>
      </c>
      <c r="K60" s="20">
        <v>2154.0</v>
      </c>
      <c r="L60" s="20">
        <v>1.0</v>
      </c>
      <c r="M60" s="20">
        <v>2298.0</v>
      </c>
      <c r="N60" s="20">
        <v>1422.0</v>
      </c>
      <c r="O60" s="20">
        <v>876.0</v>
      </c>
      <c r="P60" s="20" t="s">
        <v>709</v>
      </c>
      <c r="Q60" s="20">
        <v>1.0</v>
      </c>
      <c r="R60" s="28" t="s">
        <v>30</v>
      </c>
      <c r="S60" s="20">
        <v>16.0</v>
      </c>
      <c r="T60" s="28">
        <v>2024.0</v>
      </c>
      <c r="U60" s="28" t="s">
        <v>36</v>
      </c>
    </row>
    <row r="61">
      <c r="A61" s="20" t="s">
        <v>101</v>
      </c>
      <c r="B61" s="20">
        <v>13.0</v>
      </c>
      <c r="C61" s="20">
        <v>3.0</v>
      </c>
      <c r="D61" s="20">
        <v>0.0</v>
      </c>
      <c r="E61" s="20">
        <v>442.0</v>
      </c>
      <c r="F61" s="20">
        <v>264.0</v>
      </c>
      <c r="G61" s="13">
        <f t="shared" si="2"/>
        <v>178</v>
      </c>
      <c r="H61" s="20">
        <v>15.0</v>
      </c>
      <c r="I61" s="20">
        <v>4298.0</v>
      </c>
      <c r="J61" s="20">
        <v>3236.0</v>
      </c>
      <c r="K61" s="20">
        <v>1062.0</v>
      </c>
      <c r="L61" s="20">
        <v>2.0</v>
      </c>
      <c r="M61" s="20">
        <v>3299.0</v>
      </c>
      <c r="N61" s="20">
        <v>1478.0</v>
      </c>
      <c r="O61" s="20">
        <v>1821.0</v>
      </c>
      <c r="P61" s="20" t="s">
        <v>710</v>
      </c>
      <c r="Q61" s="20">
        <v>0.0</v>
      </c>
      <c r="R61" s="28" t="s">
        <v>35</v>
      </c>
      <c r="S61" s="20">
        <v>16.0</v>
      </c>
      <c r="T61" s="28">
        <v>2024.0</v>
      </c>
      <c r="U61" s="28" t="s">
        <v>36</v>
      </c>
    </row>
    <row r="62">
      <c r="A62" s="20" t="s">
        <v>102</v>
      </c>
      <c r="B62" s="20">
        <v>10.0</v>
      </c>
      <c r="C62" s="20">
        <v>6.0</v>
      </c>
      <c r="D62" s="20">
        <v>0.0</v>
      </c>
      <c r="E62" s="20">
        <v>363.0</v>
      </c>
      <c r="F62" s="20">
        <v>282.0</v>
      </c>
      <c r="G62" s="13">
        <f t="shared" si="2"/>
        <v>81</v>
      </c>
      <c r="H62" s="20">
        <v>26.0</v>
      </c>
      <c r="I62" s="20">
        <v>3791.0</v>
      </c>
      <c r="J62" s="20">
        <v>3200.0</v>
      </c>
      <c r="K62" s="20">
        <v>591.0</v>
      </c>
      <c r="L62" s="20">
        <v>3.0</v>
      </c>
      <c r="M62" s="20">
        <v>3348.0</v>
      </c>
      <c r="N62" s="20">
        <v>1562.0</v>
      </c>
      <c r="O62" s="20">
        <v>1786.0</v>
      </c>
      <c r="P62" s="20" t="s">
        <v>711</v>
      </c>
      <c r="Q62" s="20">
        <v>0.0</v>
      </c>
      <c r="R62" s="28" t="s">
        <v>63</v>
      </c>
      <c r="S62" s="20">
        <v>16.0</v>
      </c>
      <c r="T62" s="28">
        <v>2024.0</v>
      </c>
      <c r="U62" s="28" t="s">
        <v>36</v>
      </c>
    </row>
    <row r="63">
      <c r="A63" s="20" t="s">
        <v>145</v>
      </c>
      <c r="B63" s="20">
        <v>13.0</v>
      </c>
      <c r="C63" s="20">
        <v>3.0</v>
      </c>
      <c r="D63" s="20">
        <v>0.0</v>
      </c>
      <c r="E63" s="20">
        <v>343.0</v>
      </c>
      <c r="F63" s="20">
        <v>218.0</v>
      </c>
      <c r="G63" s="13">
        <f t="shared" si="2"/>
        <v>125</v>
      </c>
      <c r="H63" s="20">
        <v>28.0</v>
      </c>
      <c r="I63" s="20">
        <v>3044.0</v>
      </c>
      <c r="J63" s="20">
        <v>1452.0</v>
      </c>
      <c r="K63" s="20">
        <v>1592.0</v>
      </c>
      <c r="L63" s="20">
        <v>4.0</v>
      </c>
      <c r="M63" s="20">
        <v>3607.0</v>
      </c>
      <c r="N63" s="20">
        <v>1826.0</v>
      </c>
      <c r="O63" s="20">
        <v>1781.0</v>
      </c>
      <c r="P63" s="20" t="s">
        <v>712</v>
      </c>
      <c r="Q63" s="20">
        <v>0.0</v>
      </c>
      <c r="R63" s="28" t="s">
        <v>42</v>
      </c>
      <c r="S63" s="20">
        <v>16.0</v>
      </c>
      <c r="T63" s="28">
        <v>2024.0</v>
      </c>
      <c r="U63" s="28" t="s">
        <v>36</v>
      </c>
    </row>
    <row r="64">
      <c r="A64" s="20" t="s">
        <v>89</v>
      </c>
      <c r="B64" s="20">
        <v>11.0</v>
      </c>
      <c r="C64" s="20">
        <v>5.0</v>
      </c>
      <c r="D64" s="20">
        <v>0.0</v>
      </c>
      <c r="E64" s="20">
        <v>506.0</v>
      </c>
      <c r="F64" s="20">
        <v>245.0</v>
      </c>
      <c r="G64" s="13">
        <f t="shared" si="2"/>
        <v>261</v>
      </c>
      <c r="H64" s="20">
        <v>4.0</v>
      </c>
      <c r="I64" s="20">
        <v>4936.0</v>
      </c>
      <c r="J64" s="20">
        <v>3460.0</v>
      </c>
      <c r="K64" s="20">
        <v>1476.0</v>
      </c>
      <c r="L64" s="20">
        <v>5.0</v>
      </c>
      <c r="M64" s="20">
        <v>3648.0</v>
      </c>
      <c r="N64" s="20">
        <v>1578.0</v>
      </c>
      <c r="O64" s="20">
        <v>2070.0</v>
      </c>
      <c r="P64" s="20" t="s">
        <v>713</v>
      </c>
      <c r="Q64" s="20">
        <v>0.0</v>
      </c>
      <c r="R64" s="28" t="s">
        <v>175</v>
      </c>
      <c r="S64" s="20">
        <v>16.0</v>
      </c>
      <c r="T64" s="28">
        <v>2024.0</v>
      </c>
      <c r="U64" s="28" t="s">
        <v>36</v>
      </c>
    </row>
    <row r="65">
      <c r="A65" s="20" t="s">
        <v>29</v>
      </c>
      <c r="B65" s="20">
        <v>14.0</v>
      </c>
      <c r="C65" s="20">
        <v>1.0</v>
      </c>
      <c r="D65" s="20">
        <v>1.0</v>
      </c>
      <c r="E65" s="20">
        <v>557.0</v>
      </c>
      <c r="F65" s="20">
        <v>193.0</v>
      </c>
      <c r="G65" s="13">
        <f t="shared" si="2"/>
        <v>364</v>
      </c>
      <c r="H65" s="20">
        <v>2.0</v>
      </c>
      <c r="I65" s="20">
        <v>5510.0</v>
      </c>
      <c r="J65" s="20">
        <v>5129.0</v>
      </c>
      <c r="K65" s="20">
        <v>381.0</v>
      </c>
      <c r="L65" s="20">
        <v>1.0</v>
      </c>
      <c r="M65" s="20">
        <v>3582.0</v>
      </c>
      <c r="N65" s="20">
        <v>2112.0</v>
      </c>
      <c r="O65" s="20">
        <v>1470.0</v>
      </c>
      <c r="P65" s="20" t="s">
        <v>714</v>
      </c>
      <c r="Q65" s="20">
        <v>1.0</v>
      </c>
      <c r="R65" s="28" t="s">
        <v>35</v>
      </c>
      <c r="S65" s="20">
        <v>17.0</v>
      </c>
      <c r="T65" s="28">
        <v>2025.0</v>
      </c>
      <c r="U65" s="28" t="s">
        <v>36</v>
      </c>
    </row>
    <row r="66">
      <c r="A66" s="20" t="s">
        <v>81</v>
      </c>
      <c r="B66" s="20">
        <v>9.0</v>
      </c>
      <c r="C66" s="20">
        <v>6.0</v>
      </c>
      <c r="D66" s="20">
        <v>1.0</v>
      </c>
      <c r="E66" s="20">
        <v>407.0</v>
      </c>
      <c r="F66" s="20">
        <v>328.0</v>
      </c>
      <c r="G66" s="13">
        <f t="shared" si="2"/>
        <v>79</v>
      </c>
      <c r="H66" s="20">
        <v>3.0</v>
      </c>
      <c r="I66" s="20">
        <v>5001.0</v>
      </c>
      <c r="J66" s="20">
        <v>4643.0</v>
      </c>
      <c r="K66" s="20">
        <v>358.0</v>
      </c>
      <c r="L66" s="20">
        <v>2.0</v>
      </c>
      <c r="M66" s="20">
        <v>3961.0</v>
      </c>
      <c r="N66" s="20">
        <v>1630.0</v>
      </c>
      <c r="O66" s="20">
        <v>2331.0</v>
      </c>
      <c r="P66" s="20" t="s">
        <v>715</v>
      </c>
      <c r="Q66" s="20">
        <v>0.0</v>
      </c>
      <c r="R66" s="28" t="s">
        <v>187</v>
      </c>
      <c r="S66" s="20">
        <v>17.0</v>
      </c>
      <c r="T66" s="28">
        <v>2025.0</v>
      </c>
      <c r="U66" s="28" t="s">
        <v>36</v>
      </c>
    </row>
    <row r="67">
      <c r="A67" s="20" t="s">
        <v>81</v>
      </c>
      <c r="B67" s="20">
        <v>12.0</v>
      </c>
      <c r="C67" s="20">
        <v>4.0</v>
      </c>
      <c r="D67" s="20">
        <v>0.0</v>
      </c>
      <c r="E67" s="20">
        <v>538.0</v>
      </c>
      <c r="F67" s="20">
        <v>312.0</v>
      </c>
      <c r="G67" s="13">
        <f t="shared" si="2"/>
        <v>226</v>
      </c>
      <c r="H67" s="20">
        <v>3.0</v>
      </c>
      <c r="I67" s="20">
        <v>5158.0</v>
      </c>
      <c r="J67" s="20">
        <v>4919.0</v>
      </c>
      <c r="K67" s="20">
        <v>239.0</v>
      </c>
      <c r="L67" s="20">
        <v>4.0</v>
      </c>
      <c r="M67" s="20">
        <v>3877.0</v>
      </c>
      <c r="N67" s="20">
        <v>1626.0</v>
      </c>
      <c r="O67" s="20">
        <v>2251.0</v>
      </c>
      <c r="P67" s="20" t="s">
        <v>716</v>
      </c>
      <c r="Q67" s="20">
        <v>0.0</v>
      </c>
      <c r="R67" s="28" t="s">
        <v>187</v>
      </c>
      <c r="S67" s="20">
        <v>18.0</v>
      </c>
      <c r="T67" s="28">
        <v>2025.0</v>
      </c>
      <c r="U67" s="28" t="s">
        <v>36</v>
      </c>
    </row>
    <row r="68">
      <c r="A68" s="20" t="s">
        <v>717</v>
      </c>
      <c r="B68" s="20">
        <v>14.0</v>
      </c>
      <c r="C68" s="20">
        <v>2.0</v>
      </c>
      <c r="D68" s="20">
        <v>0.0</v>
      </c>
      <c r="E68" s="20">
        <v>499.0</v>
      </c>
      <c r="F68" s="20">
        <v>220.0</v>
      </c>
      <c r="G68" s="13">
        <f t="shared" si="2"/>
        <v>279</v>
      </c>
      <c r="H68" s="20">
        <v>1.0</v>
      </c>
      <c r="I68" s="20">
        <v>5243.0</v>
      </c>
      <c r="J68" s="20">
        <v>4206.0</v>
      </c>
      <c r="K68" s="20">
        <v>1037.0</v>
      </c>
      <c r="L68" s="20">
        <v>1.0</v>
      </c>
      <c r="M68" s="20">
        <v>3224.0</v>
      </c>
      <c r="N68" s="20">
        <v>1468.0</v>
      </c>
      <c r="O68" s="20">
        <v>1756.0</v>
      </c>
      <c r="P68" s="20" t="s">
        <v>718</v>
      </c>
      <c r="Q68" s="20">
        <v>0.0</v>
      </c>
      <c r="R68" s="28" t="s">
        <v>35</v>
      </c>
      <c r="S68" s="20">
        <v>18.0</v>
      </c>
      <c r="T68" s="28">
        <v>2025.0</v>
      </c>
      <c r="U68" s="28" t="s">
        <v>36</v>
      </c>
    </row>
    <row r="69">
      <c r="A69" s="20" t="s">
        <v>81</v>
      </c>
      <c r="B69" s="20">
        <v>13.0</v>
      </c>
      <c r="C69" s="20">
        <v>3.0</v>
      </c>
      <c r="D69" s="20">
        <v>0.0</v>
      </c>
      <c r="E69" s="20">
        <v>466.0</v>
      </c>
      <c r="F69" s="20">
        <v>305.0</v>
      </c>
      <c r="G69" s="13">
        <f t="shared" si="2"/>
        <v>161</v>
      </c>
      <c r="H69" s="20">
        <v>2.0</v>
      </c>
      <c r="I69" s="20">
        <v>5235.0</v>
      </c>
      <c r="J69" s="20">
        <v>4955.0</v>
      </c>
      <c r="K69" s="20">
        <v>280.0</v>
      </c>
      <c r="L69" s="20">
        <v>2.0</v>
      </c>
      <c r="M69" s="20">
        <v>3899.0</v>
      </c>
      <c r="N69" s="20">
        <v>1506.0</v>
      </c>
      <c r="O69" s="20">
        <v>2393.0</v>
      </c>
      <c r="P69" s="20" t="s">
        <v>719</v>
      </c>
      <c r="Q69" s="20">
        <v>0.0</v>
      </c>
      <c r="R69" s="28" t="s">
        <v>187</v>
      </c>
      <c r="S69" s="20">
        <v>19.0</v>
      </c>
      <c r="T69" s="28">
        <v>2025.0</v>
      </c>
      <c r="U69" s="28" t="s">
        <v>36</v>
      </c>
    </row>
    <row r="70">
      <c r="A70" s="20" t="s">
        <v>47</v>
      </c>
      <c r="B70" s="20">
        <v>12.0</v>
      </c>
      <c r="C70" s="20">
        <v>4.0</v>
      </c>
      <c r="D70" s="20">
        <v>0.0</v>
      </c>
      <c r="E70" s="20">
        <v>597.0</v>
      </c>
      <c r="F70" s="20">
        <v>284.0</v>
      </c>
      <c r="G70" s="13">
        <f t="shared" si="2"/>
        <v>313</v>
      </c>
      <c r="H70" s="20">
        <v>1.0</v>
      </c>
      <c r="I70" s="20">
        <v>5955.0</v>
      </c>
      <c r="J70" s="20">
        <v>892.0</v>
      </c>
      <c r="K70" s="20">
        <v>5063.0</v>
      </c>
      <c r="L70" s="20">
        <v>1.0</v>
      </c>
      <c r="M70" s="20">
        <v>3346.0</v>
      </c>
      <c r="N70" s="20">
        <v>1689.0</v>
      </c>
      <c r="O70" s="20">
        <v>1657.0</v>
      </c>
      <c r="P70" s="20" t="s">
        <v>720</v>
      </c>
      <c r="Q70" s="20">
        <v>1.0</v>
      </c>
      <c r="R70" s="28" t="s">
        <v>35</v>
      </c>
      <c r="S70" s="20">
        <v>19.0</v>
      </c>
      <c r="T70" s="28">
        <v>2025.0</v>
      </c>
      <c r="U70" s="28" t="s">
        <v>36</v>
      </c>
    </row>
    <row r="71">
      <c r="A71" s="20" t="s">
        <v>47</v>
      </c>
      <c r="B71" s="20">
        <v>15.0</v>
      </c>
      <c r="C71" s="20">
        <v>1.0</v>
      </c>
      <c r="D71" s="20">
        <v>0.0</v>
      </c>
      <c r="E71" s="20">
        <v>657.0</v>
      </c>
      <c r="F71" s="20">
        <v>211.0</v>
      </c>
      <c r="G71" s="13">
        <f t="shared" si="2"/>
        <v>446</v>
      </c>
      <c r="H71" s="20">
        <v>2.0</v>
      </c>
      <c r="I71" s="20">
        <v>5183.0</v>
      </c>
      <c r="J71" s="20">
        <v>3286.0</v>
      </c>
      <c r="K71" s="20">
        <v>1897.0</v>
      </c>
      <c r="L71" s="20">
        <v>1.0</v>
      </c>
      <c r="M71" s="20">
        <v>3406.0</v>
      </c>
      <c r="N71" s="20">
        <v>1852.0</v>
      </c>
      <c r="O71" s="20">
        <v>1554.0</v>
      </c>
      <c r="P71" s="20" t="s">
        <v>721</v>
      </c>
      <c r="Q71" s="20">
        <v>1.0</v>
      </c>
      <c r="R71" s="28" t="s">
        <v>30</v>
      </c>
      <c r="S71" s="20">
        <v>20.0</v>
      </c>
      <c r="T71" s="28">
        <v>2025.0</v>
      </c>
      <c r="U71" s="28" t="s">
        <v>36</v>
      </c>
    </row>
    <row r="72">
      <c r="A72" s="20" t="s">
        <v>107</v>
      </c>
      <c r="B72" s="20">
        <v>9.0</v>
      </c>
      <c r="C72" s="20">
        <v>7.0</v>
      </c>
      <c r="D72" s="20">
        <v>0.0</v>
      </c>
      <c r="E72" s="20">
        <v>373.0</v>
      </c>
      <c r="F72" s="20">
        <v>348.0</v>
      </c>
      <c r="G72" s="13">
        <f t="shared" si="2"/>
        <v>25</v>
      </c>
      <c r="H72" s="20">
        <v>28.0</v>
      </c>
      <c r="I72" s="20">
        <v>3711.0</v>
      </c>
      <c r="J72" s="20">
        <v>2258.0</v>
      </c>
      <c r="K72" s="20">
        <v>1453.0</v>
      </c>
      <c r="L72" s="20">
        <v>14.0</v>
      </c>
      <c r="M72" s="20">
        <v>4509.0</v>
      </c>
      <c r="N72" s="20">
        <v>1813.0</v>
      </c>
      <c r="O72" s="20">
        <v>2696.0</v>
      </c>
      <c r="P72" s="20" t="s">
        <v>722</v>
      </c>
      <c r="Q72" s="20">
        <v>0.0</v>
      </c>
      <c r="R72" s="28" t="s">
        <v>205</v>
      </c>
      <c r="S72" s="20">
        <v>20.0</v>
      </c>
      <c r="T72" s="28">
        <v>2025.0</v>
      </c>
      <c r="U72" s="28" t="s">
        <v>36</v>
      </c>
    </row>
    <row r="73">
      <c r="A73" s="20" t="s">
        <v>121</v>
      </c>
      <c r="B73" s="20">
        <v>16.0</v>
      </c>
      <c r="C73" s="20">
        <v>0.0</v>
      </c>
      <c r="D73" s="20">
        <v>0.0</v>
      </c>
      <c r="E73" s="20">
        <v>644.0</v>
      </c>
      <c r="F73" s="20">
        <v>198.0</v>
      </c>
      <c r="G73" s="13">
        <f t="shared" si="2"/>
        <v>446</v>
      </c>
      <c r="H73" s="20">
        <v>3.0</v>
      </c>
      <c r="I73" s="20">
        <v>5036.0</v>
      </c>
      <c r="J73" s="20">
        <v>2674.0</v>
      </c>
      <c r="K73" s="20">
        <v>2362.0</v>
      </c>
      <c r="L73" s="20">
        <v>2.0</v>
      </c>
      <c r="M73" s="20">
        <v>3451.0</v>
      </c>
      <c r="N73" s="20">
        <v>1651.0</v>
      </c>
      <c r="O73" s="20">
        <v>1800.0</v>
      </c>
      <c r="P73" s="20" t="s">
        <v>723</v>
      </c>
      <c r="Q73" s="20">
        <v>1.0</v>
      </c>
      <c r="R73" s="28" t="s">
        <v>30</v>
      </c>
      <c r="S73" s="20">
        <v>21.0</v>
      </c>
      <c r="T73" s="28">
        <v>2026.0</v>
      </c>
      <c r="U73" s="28" t="s">
        <v>36</v>
      </c>
    </row>
    <row r="74">
      <c r="A74" s="20" t="s">
        <v>62</v>
      </c>
      <c r="B74" s="20">
        <v>11.0</v>
      </c>
      <c r="C74" s="20">
        <v>5.0</v>
      </c>
      <c r="D74" s="20">
        <v>0.0</v>
      </c>
      <c r="E74" s="20">
        <v>413.0</v>
      </c>
      <c r="F74" s="20">
        <v>325.0</v>
      </c>
      <c r="G74" s="13">
        <f t="shared" si="2"/>
        <v>88</v>
      </c>
      <c r="H74" s="20">
        <v>23.0</v>
      </c>
      <c r="I74" s="20">
        <v>4131.0</v>
      </c>
      <c r="J74" s="20">
        <v>2997.0</v>
      </c>
      <c r="K74" s="20">
        <v>1134.0</v>
      </c>
      <c r="L74" s="20">
        <v>3.0</v>
      </c>
      <c r="M74" s="20">
        <v>3593.0</v>
      </c>
      <c r="N74" s="20">
        <v>1506.0</v>
      </c>
      <c r="O74" s="20">
        <v>2087.0</v>
      </c>
      <c r="P74" s="20" t="s">
        <v>724</v>
      </c>
      <c r="Q74" s="20">
        <v>0.0</v>
      </c>
      <c r="R74" s="28" t="s">
        <v>205</v>
      </c>
      <c r="S74" s="20">
        <v>21.0</v>
      </c>
      <c r="T74" s="28">
        <v>2026.0</v>
      </c>
      <c r="U74" s="28" t="s">
        <v>36</v>
      </c>
    </row>
    <row r="75">
      <c r="A75" s="14"/>
      <c r="B75" s="14"/>
      <c r="C75" s="14"/>
      <c r="D75" s="14"/>
      <c r="E75" s="14"/>
      <c r="F75" s="14"/>
      <c r="G75" s="13"/>
      <c r="H75" s="14"/>
      <c r="I75" s="14"/>
      <c r="J75" s="14"/>
      <c r="K75" s="14"/>
      <c r="L75" s="14"/>
      <c r="M75" s="14"/>
      <c r="N75" s="14"/>
      <c r="O75" s="14"/>
      <c r="P75" s="14"/>
      <c r="Q75" s="14"/>
      <c r="S75" s="14"/>
    </row>
    <row r="76">
      <c r="A76" s="14"/>
      <c r="B76" s="14"/>
      <c r="C76" s="14"/>
      <c r="D76" s="14"/>
      <c r="E76" s="14"/>
      <c r="F76" s="14"/>
      <c r="G76" s="13"/>
      <c r="H76" s="14"/>
      <c r="I76" s="14"/>
      <c r="J76" s="14"/>
      <c r="K76" s="14"/>
      <c r="L76" s="14"/>
      <c r="M76" s="14"/>
      <c r="N76" s="14"/>
      <c r="O76" s="14"/>
      <c r="P76" s="14"/>
      <c r="Q76" s="14"/>
      <c r="S76" s="14"/>
    </row>
    <row r="77">
      <c r="A77" s="14"/>
      <c r="B77" s="14"/>
      <c r="C77" s="14"/>
      <c r="D77" s="14"/>
      <c r="E77" s="14"/>
      <c r="F77" s="14"/>
      <c r="G77" s="13"/>
      <c r="H77" s="14"/>
      <c r="I77" s="14"/>
      <c r="J77" s="14"/>
      <c r="K77" s="14"/>
      <c r="L77" s="14"/>
      <c r="M77" s="14"/>
      <c r="N77" s="14"/>
      <c r="O77" s="14"/>
      <c r="P77" s="14"/>
      <c r="Q77" s="14"/>
      <c r="S77" s="14"/>
    </row>
    <row r="78">
      <c r="A78" s="14"/>
      <c r="B78" s="14"/>
      <c r="C78" s="14"/>
      <c r="D78" s="14"/>
      <c r="E78" s="14"/>
      <c r="F78" s="14"/>
      <c r="G78" s="13"/>
      <c r="H78" s="14"/>
      <c r="I78" s="14"/>
      <c r="J78" s="14"/>
      <c r="K78" s="14"/>
      <c r="L78" s="14"/>
      <c r="M78" s="14"/>
      <c r="N78" s="14"/>
      <c r="O78" s="14"/>
      <c r="P78" s="14"/>
      <c r="Q78" s="14"/>
      <c r="S78" s="14"/>
    </row>
    <row r="79">
      <c r="A79" s="14"/>
      <c r="B79" s="14"/>
      <c r="C79" s="14"/>
      <c r="D79" s="14"/>
      <c r="E79" s="14"/>
      <c r="F79" s="14"/>
      <c r="G79" s="13"/>
      <c r="H79" s="14"/>
      <c r="I79" s="14"/>
      <c r="J79" s="14"/>
      <c r="K79" s="14"/>
      <c r="L79" s="14"/>
      <c r="M79" s="14"/>
      <c r="N79" s="14"/>
      <c r="O79" s="14"/>
      <c r="P79" s="14"/>
      <c r="Q79" s="14"/>
      <c r="S79" s="14"/>
    </row>
    <row r="80">
      <c r="A80" s="14"/>
      <c r="B80" s="14"/>
      <c r="C80" s="14"/>
      <c r="D80" s="14"/>
      <c r="E80" s="14"/>
      <c r="F80" s="14"/>
      <c r="G80" s="13"/>
      <c r="H80" s="14"/>
      <c r="I80" s="14"/>
      <c r="J80" s="14"/>
      <c r="K80" s="14"/>
      <c r="L80" s="14"/>
      <c r="M80" s="14"/>
      <c r="N80" s="14"/>
      <c r="O80" s="14"/>
      <c r="P80" s="14"/>
      <c r="Q80" s="14"/>
      <c r="S80" s="14"/>
    </row>
    <row r="81">
      <c r="A81" s="14"/>
      <c r="B81" s="14"/>
      <c r="C81" s="14"/>
      <c r="D81" s="14"/>
      <c r="E81" s="14"/>
      <c r="F81" s="14"/>
      <c r="G81" s="13"/>
      <c r="H81" s="14"/>
      <c r="I81" s="14"/>
      <c r="J81" s="14"/>
      <c r="K81" s="14"/>
      <c r="L81" s="14"/>
      <c r="M81" s="14"/>
      <c r="N81" s="14"/>
      <c r="O81" s="14"/>
      <c r="P81" s="14"/>
      <c r="Q81" s="14"/>
      <c r="S81" s="14"/>
    </row>
    <row r="82">
      <c r="A82" s="14"/>
      <c r="B82" s="14"/>
      <c r="C82" s="14"/>
      <c r="D82" s="14"/>
      <c r="E82" s="14"/>
      <c r="F82" s="14"/>
      <c r="G82" s="13"/>
      <c r="H82" s="14"/>
      <c r="I82" s="14"/>
      <c r="J82" s="14"/>
      <c r="K82" s="14"/>
      <c r="L82" s="14"/>
      <c r="M82" s="14"/>
      <c r="N82" s="14"/>
      <c r="O82" s="14"/>
      <c r="P82" s="14"/>
      <c r="Q82" s="14"/>
      <c r="S82" s="14"/>
    </row>
    <row r="83">
      <c r="A83" s="14"/>
      <c r="B83" s="14"/>
      <c r="C83" s="14"/>
      <c r="D83" s="14"/>
      <c r="E83" s="14"/>
      <c r="F83" s="14"/>
      <c r="G83" s="13"/>
      <c r="H83" s="14"/>
      <c r="I83" s="14"/>
      <c r="J83" s="14"/>
      <c r="K83" s="14"/>
      <c r="L83" s="14"/>
      <c r="M83" s="14"/>
      <c r="N83" s="14"/>
      <c r="O83" s="14"/>
      <c r="P83" s="14"/>
      <c r="Q83" s="14"/>
      <c r="S83" s="14"/>
    </row>
    <row r="84">
      <c r="A84" s="14"/>
      <c r="B84" s="14"/>
      <c r="C84" s="14"/>
      <c r="D84" s="14"/>
      <c r="E84" s="14"/>
      <c r="F84" s="14"/>
      <c r="G84" s="13"/>
      <c r="H84" s="14"/>
      <c r="I84" s="14"/>
      <c r="J84" s="14"/>
      <c r="K84" s="14"/>
      <c r="L84" s="14"/>
      <c r="M84" s="14"/>
      <c r="N84" s="14"/>
      <c r="O84" s="14"/>
      <c r="P84" s="14"/>
      <c r="Q84" s="14"/>
      <c r="S84" s="14"/>
    </row>
    <row r="85">
      <c r="A85" s="14"/>
      <c r="B85" s="14"/>
      <c r="C85" s="14"/>
      <c r="D85" s="14"/>
      <c r="E85" s="14"/>
      <c r="F85" s="14"/>
      <c r="G85" s="13"/>
      <c r="H85" s="14"/>
      <c r="I85" s="14"/>
      <c r="J85" s="14"/>
      <c r="K85" s="14"/>
      <c r="L85" s="14"/>
      <c r="M85" s="14"/>
      <c r="N85" s="14"/>
      <c r="O85" s="14"/>
      <c r="P85" s="14"/>
      <c r="Q85" s="14"/>
      <c r="S85" s="14"/>
    </row>
    <row r="86">
      <c r="A86" s="14"/>
      <c r="B86" s="14"/>
      <c r="C86" s="14"/>
      <c r="D86" s="14"/>
      <c r="E86" s="14"/>
      <c r="F86" s="14"/>
      <c r="G86" s="13"/>
      <c r="H86" s="14"/>
      <c r="I86" s="14"/>
      <c r="J86" s="14"/>
      <c r="K86" s="14"/>
      <c r="L86" s="14"/>
      <c r="M86" s="14"/>
      <c r="N86" s="14"/>
      <c r="O86" s="14"/>
      <c r="P86" s="14"/>
      <c r="Q86" s="14"/>
      <c r="S86" s="14"/>
    </row>
    <row r="87">
      <c r="A87" s="14"/>
      <c r="B87" s="14"/>
      <c r="C87" s="14"/>
      <c r="D87" s="14"/>
      <c r="E87" s="14"/>
      <c r="F87" s="14"/>
      <c r="G87" s="13"/>
      <c r="H87" s="14"/>
      <c r="I87" s="14"/>
      <c r="J87" s="14"/>
      <c r="K87" s="14"/>
      <c r="L87" s="14"/>
      <c r="M87" s="14"/>
      <c r="N87" s="14"/>
      <c r="O87" s="14"/>
      <c r="P87" s="14"/>
      <c r="Q87" s="14"/>
      <c r="S87" s="14"/>
    </row>
    <row r="88">
      <c r="A88" s="14"/>
      <c r="B88" s="14"/>
      <c r="C88" s="14"/>
      <c r="D88" s="14"/>
      <c r="E88" s="14"/>
      <c r="F88" s="14"/>
      <c r="G88" s="13"/>
      <c r="H88" s="14"/>
      <c r="I88" s="14"/>
      <c r="J88" s="14"/>
      <c r="K88" s="14"/>
      <c r="L88" s="14"/>
      <c r="M88" s="14"/>
      <c r="N88" s="14"/>
      <c r="O88" s="14"/>
      <c r="P88" s="14"/>
      <c r="Q88" s="14"/>
      <c r="S88" s="14"/>
    </row>
    <row r="89">
      <c r="A89" s="14"/>
      <c r="B89" s="14"/>
      <c r="C89" s="14"/>
      <c r="D89" s="14"/>
      <c r="E89" s="14"/>
      <c r="F89" s="14"/>
      <c r="G89" s="13"/>
      <c r="H89" s="14"/>
      <c r="I89" s="14"/>
      <c r="J89" s="14"/>
      <c r="K89" s="14"/>
      <c r="L89" s="14"/>
      <c r="M89" s="14"/>
      <c r="N89" s="14"/>
      <c r="O89" s="14"/>
      <c r="P89" s="14"/>
      <c r="Q89" s="14"/>
      <c r="S89" s="14"/>
    </row>
    <row r="90">
      <c r="A90" s="14"/>
      <c r="B90" s="14"/>
      <c r="C90" s="14"/>
      <c r="D90" s="14"/>
      <c r="E90" s="14"/>
      <c r="F90" s="14"/>
      <c r="G90" s="13"/>
      <c r="H90" s="14"/>
      <c r="I90" s="14"/>
      <c r="J90" s="14"/>
      <c r="K90" s="14"/>
      <c r="L90" s="14"/>
      <c r="M90" s="14"/>
      <c r="N90" s="14"/>
      <c r="O90" s="14"/>
      <c r="P90" s="14"/>
      <c r="Q90" s="14"/>
      <c r="S90" s="14"/>
    </row>
    <row r="91">
      <c r="A91" s="14"/>
      <c r="B91" s="14"/>
      <c r="C91" s="14"/>
      <c r="D91" s="14"/>
      <c r="E91" s="14"/>
      <c r="F91" s="14"/>
      <c r="G91" s="13"/>
      <c r="H91" s="14"/>
      <c r="I91" s="14"/>
      <c r="J91" s="14"/>
      <c r="K91" s="14"/>
      <c r="L91" s="14"/>
      <c r="M91" s="14"/>
      <c r="N91" s="14"/>
      <c r="O91" s="14"/>
      <c r="P91" s="14"/>
      <c r="Q91" s="14"/>
      <c r="S91" s="14"/>
    </row>
    <row r="92">
      <c r="A92" s="14"/>
      <c r="B92" s="14"/>
      <c r="C92" s="14"/>
      <c r="D92" s="14"/>
      <c r="E92" s="14"/>
      <c r="F92" s="14"/>
      <c r="G92" s="13"/>
      <c r="H92" s="14"/>
      <c r="I92" s="14"/>
      <c r="J92" s="14"/>
      <c r="K92" s="14"/>
      <c r="L92" s="14"/>
      <c r="M92" s="14"/>
      <c r="N92" s="14"/>
      <c r="O92" s="14"/>
      <c r="P92" s="14"/>
      <c r="Q92" s="14"/>
      <c r="S92" s="14"/>
    </row>
    <row r="93">
      <c r="A93" s="14"/>
      <c r="B93" s="14"/>
      <c r="C93" s="14"/>
      <c r="D93" s="14"/>
      <c r="E93" s="14"/>
      <c r="F93" s="14"/>
      <c r="G93" s="13"/>
      <c r="H93" s="14"/>
      <c r="I93" s="14"/>
      <c r="J93" s="14"/>
      <c r="K93" s="14"/>
      <c r="L93" s="14"/>
      <c r="M93" s="14"/>
      <c r="N93" s="14"/>
      <c r="O93" s="14"/>
      <c r="P93" s="14"/>
      <c r="Q93" s="14"/>
      <c r="S93" s="14"/>
    </row>
    <row r="94">
      <c r="A94" s="14"/>
      <c r="B94" s="14"/>
      <c r="C94" s="14"/>
      <c r="D94" s="14"/>
      <c r="E94" s="14"/>
      <c r="F94" s="14"/>
      <c r="G94" s="13"/>
      <c r="H94" s="14"/>
      <c r="I94" s="14"/>
      <c r="J94" s="14"/>
      <c r="K94" s="14"/>
      <c r="L94" s="14"/>
      <c r="M94" s="14"/>
      <c r="N94" s="14"/>
      <c r="O94" s="14"/>
      <c r="P94" s="14"/>
      <c r="Q94" s="14"/>
      <c r="S94" s="14"/>
    </row>
    <row r="95">
      <c r="A95" s="14"/>
      <c r="B95" s="14"/>
      <c r="C95" s="14"/>
      <c r="D95" s="14"/>
      <c r="E95" s="14"/>
      <c r="F95" s="14"/>
      <c r="G95" s="13"/>
      <c r="H95" s="14"/>
      <c r="I95" s="14"/>
      <c r="J95" s="14"/>
      <c r="K95" s="14"/>
      <c r="L95" s="14"/>
      <c r="M95" s="14"/>
      <c r="N95" s="14"/>
      <c r="O95" s="14"/>
      <c r="P95" s="14"/>
      <c r="Q95" s="14"/>
      <c r="S95" s="14"/>
    </row>
    <row r="96">
      <c r="A96" s="14"/>
      <c r="B96" s="14"/>
      <c r="C96" s="14"/>
      <c r="D96" s="14"/>
      <c r="E96" s="14"/>
      <c r="F96" s="14"/>
      <c r="G96" s="13"/>
      <c r="H96" s="14"/>
      <c r="I96" s="14"/>
      <c r="J96" s="14"/>
      <c r="K96" s="14"/>
      <c r="L96" s="14"/>
      <c r="M96" s="14"/>
      <c r="N96" s="14"/>
      <c r="O96" s="14"/>
      <c r="P96" s="14"/>
      <c r="Q96" s="14"/>
      <c r="S96" s="14"/>
    </row>
    <row r="97">
      <c r="A97" s="14"/>
      <c r="B97" s="14"/>
      <c r="C97" s="14"/>
      <c r="D97" s="14"/>
      <c r="E97" s="14"/>
      <c r="F97" s="14"/>
      <c r="G97" s="13"/>
      <c r="H97" s="14"/>
      <c r="I97" s="14"/>
      <c r="J97" s="14"/>
      <c r="K97" s="14"/>
      <c r="L97" s="14"/>
      <c r="M97" s="14"/>
      <c r="N97" s="14"/>
      <c r="O97" s="14"/>
      <c r="P97" s="14"/>
      <c r="Q97" s="14"/>
      <c r="S97" s="14"/>
    </row>
    <row r="98">
      <c r="A98" s="14"/>
      <c r="B98" s="14"/>
      <c r="C98" s="14"/>
      <c r="D98" s="14"/>
      <c r="E98" s="14"/>
      <c r="F98" s="14"/>
      <c r="G98" s="13"/>
      <c r="H98" s="14"/>
      <c r="I98" s="14"/>
      <c r="J98" s="14"/>
      <c r="K98" s="14"/>
      <c r="L98" s="14"/>
      <c r="M98" s="14"/>
      <c r="N98" s="14"/>
      <c r="O98" s="14"/>
      <c r="P98" s="14"/>
      <c r="Q98" s="14"/>
      <c r="S98" s="14"/>
    </row>
    <row r="99">
      <c r="A99" s="14"/>
      <c r="B99" s="14"/>
      <c r="C99" s="14"/>
      <c r="D99" s="14"/>
      <c r="E99" s="14"/>
      <c r="F99" s="14"/>
      <c r="G99" s="13"/>
      <c r="H99" s="14"/>
      <c r="I99" s="14"/>
      <c r="J99" s="14"/>
      <c r="K99" s="14"/>
      <c r="L99" s="14"/>
      <c r="M99" s="14"/>
      <c r="N99" s="14"/>
      <c r="O99" s="14"/>
      <c r="P99" s="14"/>
      <c r="Q99" s="14"/>
      <c r="S99" s="14"/>
    </row>
  </sheetData>
  <autoFilter ref="$A$2:$U$74">
    <sortState ref="A2:U74">
      <sortCondition ref="S2:S74"/>
    </sortState>
  </autoFilter>
  <mergeCells count="1">
    <mergeCell ref="A1:U1"/>
  </mergeCells>
  <conditionalFormatting sqref="B3:B99 E3:E99 G3:G99 I3:M99 F23 H23 N23:O23">
    <cfRule type="expression" dxfId="0" priority="1">
      <formula>B3&gt;=MAX(B$3:B$166)</formula>
    </cfRule>
  </conditionalFormatting>
  <conditionalFormatting sqref="F3:F99 H3:H99 L3:O99">
    <cfRule type="expression" dxfId="0" priority="2">
      <formula>F3=MIN(F$3:F$166)</formula>
    </cfRule>
  </conditionalFormatting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11.5"/>
    <col customWidth="1" min="2" max="3" width="6.75"/>
    <col customWidth="1" min="4" max="5" width="11.5"/>
    <col customWidth="1" min="6" max="6" width="11.75"/>
    <col customWidth="1" min="7" max="7" width="7.63"/>
    <col customWidth="1" min="8" max="8" width="6.63"/>
    <col customWidth="1" min="9" max="9" width="7.0"/>
    <col customWidth="1" min="10" max="10" width="77.5"/>
  </cols>
  <sheetData>
    <row r="1" ht="30.75" customHeight="1">
      <c r="A1" s="50" t="s">
        <v>557</v>
      </c>
    </row>
    <row r="2" ht="15.0" customHeight="1">
      <c r="A2" s="51" t="s">
        <v>18</v>
      </c>
      <c r="B2" s="52" t="s">
        <v>19</v>
      </c>
      <c r="C2" s="52" t="s">
        <v>20</v>
      </c>
      <c r="D2" s="52" t="s">
        <v>558</v>
      </c>
      <c r="E2" s="51" t="s">
        <v>4</v>
      </c>
      <c r="F2" s="51" t="s">
        <v>5</v>
      </c>
      <c r="G2" s="51" t="s">
        <v>16</v>
      </c>
      <c r="H2" s="51" t="s">
        <v>3</v>
      </c>
      <c r="I2" s="51" t="s">
        <v>17</v>
      </c>
      <c r="J2" s="51" t="s">
        <v>560</v>
      </c>
    </row>
    <row r="3" ht="15.0" customHeight="1">
      <c r="A3" s="53">
        <v>1.0</v>
      </c>
      <c r="B3" s="55">
        <f>vlookup(A3,Superbowls!$A$2:$B$115,2,FALSE)</f>
        <v>2009</v>
      </c>
      <c r="C3" s="55" t="s">
        <v>36</v>
      </c>
      <c r="D3" s="55" t="s">
        <v>563</v>
      </c>
      <c r="E3" s="53" t="s">
        <v>37</v>
      </c>
      <c r="F3" s="53" t="s">
        <v>38</v>
      </c>
      <c r="G3" s="53" t="s">
        <v>41</v>
      </c>
      <c r="H3" s="53" t="s">
        <v>22</v>
      </c>
      <c r="I3" s="53" t="s">
        <v>42</v>
      </c>
      <c r="J3" s="59" t="s">
        <v>568</v>
      </c>
    </row>
    <row r="4" ht="15.0" customHeight="1">
      <c r="A4" s="53">
        <v>2.0</v>
      </c>
      <c r="B4" s="55">
        <f>vlookup(A4,Superbowls!$A$2:$B$115,2,FALSE)</f>
        <v>2009</v>
      </c>
      <c r="C4" s="55" t="s">
        <v>36</v>
      </c>
      <c r="D4" s="55" t="s">
        <v>563</v>
      </c>
      <c r="E4" s="53" t="s">
        <v>392</v>
      </c>
      <c r="F4" s="53" t="s">
        <v>296</v>
      </c>
      <c r="G4" s="53" t="s">
        <v>47</v>
      </c>
      <c r="H4" s="53" t="s">
        <v>516</v>
      </c>
      <c r="I4" s="53" t="s">
        <v>30</v>
      </c>
      <c r="J4" s="69" t="s">
        <v>576</v>
      </c>
    </row>
    <row r="5" ht="15.0" customHeight="1">
      <c r="A5" s="53">
        <v>3.0</v>
      </c>
      <c r="B5" s="55">
        <f>vlookup(A5,Superbowls!$A$2:$B$115,2,FALSE)</f>
        <v>2009</v>
      </c>
      <c r="C5" s="55" t="s">
        <v>36</v>
      </c>
      <c r="D5" s="55" t="s">
        <v>563</v>
      </c>
      <c r="E5" s="53" t="s">
        <v>24</v>
      </c>
      <c r="F5" s="53" t="s">
        <v>26</v>
      </c>
      <c r="G5" s="53" t="s">
        <v>34</v>
      </c>
      <c r="H5" s="53" t="s">
        <v>22</v>
      </c>
      <c r="I5" s="53" t="s">
        <v>35</v>
      </c>
      <c r="J5" s="69" t="s">
        <v>579</v>
      </c>
    </row>
    <row r="6" ht="15.0" customHeight="1">
      <c r="A6" s="53">
        <v>4.0</v>
      </c>
      <c r="B6" s="55">
        <f>vlookup(A6,Superbowls!$A$2:$B$115,2,FALSE)</f>
        <v>2009</v>
      </c>
      <c r="C6" s="55" t="s">
        <v>36</v>
      </c>
      <c r="D6" s="55" t="s">
        <v>563</v>
      </c>
      <c r="E6" s="53" t="s">
        <v>72</v>
      </c>
      <c r="F6" s="53" t="s">
        <v>73</v>
      </c>
      <c r="G6" s="53" t="s">
        <v>54</v>
      </c>
      <c r="H6" s="53" t="s">
        <v>31</v>
      </c>
      <c r="I6" s="53" t="s">
        <v>42</v>
      </c>
      <c r="J6" s="69" t="s">
        <v>587</v>
      </c>
    </row>
    <row r="7" ht="15.0" customHeight="1">
      <c r="A7" s="53">
        <v>5.0</v>
      </c>
      <c r="B7" s="55">
        <f>vlookup(A7,Superbowls!$A$2:$B$115,2,FALSE)</f>
        <v>2010</v>
      </c>
      <c r="C7" s="55" t="s">
        <v>36</v>
      </c>
      <c r="D7" s="55" t="s">
        <v>563</v>
      </c>
      <c r="E7" s="53" t="s">
        <v>282</v>
      </c>
      <c r="F7" s="53" t="s">
        <v>416</v>
      </c>
      <c r="G7" s="53" t="s">
        <v>89</v>
      </c>
      <c r="H7" s="53" t="s">
        <v>516</v>
      </c>
      <c r="I7" s="53" t="s">
        <v>30</v>
      </c>
      <c r="J7" s="69" t="s">
        <v>592</v>
      </c>
    </row>
    <row r="8" ht="15.0" customHeight="1">
      <c r="A8" s="55">
        <v>6.0</v>
      </c>
      <c r="B8" s="55">
        <f>vlookup(A8,Superbowls!$A$2:$B$115,2,FALSE)</f>
        <v>2011</v>
      </c>
      <c r="C8" s="55" t="s">
        <v>36</v>
      </c>
      <c r="D8" s="55" t="s">
        <v>563</v>
      </c>
      <c r="E8" s="53" t="s">
        <v>159</v>
      </c>
      <c r="F8" s="53" t="s">
        <v>160</v>
      </c>
      <c r="G8" s="53" t="s">
        <v>54</v>
      </c>
      <c r="H8" s="53" t="s">
        <v>31</v>
      </c>
      <c r="I8" s="53" t="s">
        <v>42</v>
      </c>
      <c r="J8" s="59" t="s">
        <v>597</v>
      </c>
    </row>
    <row r="9">
      <c r="A9" s="55">
        <v>7.0</v>
      </c>
      <c r="B9" s="55">
        <f>vlookup(A9,Superbowls!$A$2:$B$115,2,FALSE)</f>
        <v>2017</v>
      </c>
      <c r="C9" s="55" t="s">
        <v>36</v>
      </c>
      <c r="D9" s="55" t="s">
        <v>563</v>
      </c>
      <c r="E9" s="55" t="s">
        <v>182</v>
      </c>
      <c r="F9" s="55" t="s">
        <v>183</v>
      </c>
      <c r="G9" s="55" t="s">
        <v>114</v>
      </c>
      <c r="H9" s="55" t="s">
        <v>31</v>
      </c>
      <c r="I9" s="55" t="s">
        <v>42</v>
      </c>
      <c r="J9" s="67" t="s">
        <v>603</v>
      </c>
    </row>
    <row r="10">
      <c r="A10" s="55">
        <v>8.0</v>
      </c>
      <c r="B10" s="55">
        <f>vlookup(A10,Superbowls!$A$2:$B$115,2,FALSE)</f>
        <v>2017</v>
      </c>
      <c r="C10" s="55" t="s">
        <v>36</v>
      </c>
      <c r="D10" s="55" t="s">
        <v>563</v>
      </c>
      <c r="E10" s="55" t="s">
        <v>48</v>
      </c>
      <c r="F10" s="55" t="s">
        <v>215</v>
      </c>
      <c r="G10" s="55" t="s">
        <v>78</v>
      </c>
      <c r="H10" s="55" t="s">
        <v>31</v>
      </c>
      <c r="I10" s="55" t="s">
        <v>42</v>
      </c>
      <c r="J10" s="67" t="s">
        <v>609</v>
      </c>
    </row>
    <row r="11">
      <c r="A11" s="55">
        <v>9.0</v>
      </c>
      <c r="B11" s="55">
        <f>vlookup(A11,Superbowls!$A$2:$B$115,2,FALSE)</f>
        <v>2017</v>
      </c>
      <c r="C11" s="55" t="s">
        <v>36</v>
      </c>
      <c r="D11" s="55" t="s">
        <v>563</v>
      </c>
      <c r="E11" s="55" t="s">
        <v>610</v>
      </c>
      <c r="F11" s="55" t="s">
        <v>132</v>
      </c>
      <c r="G11" s="55" t="s">
        <v>101</v>
      </c>
      <c r="H11" s="55" t="s">
        <v>21</v>
      </c>
      <c r="I11" s="55" t="s">
        <v>71</v>
      </c>
      <c r="J11" s="67" t="s">
        <v>611</v>
      </c>
    </row>
    <row r="12">
      <c r="A12" s="55">
        <v>10.0</v>
      </c>
      <c r="B12" s="55">
        <f>vlookup(A12,Superbowls!$A$2:$B$115,2,FALSE)</f>
        <v>2018</v>
      </c>
      <c r="C12" s="55" t="s">
        <v>36</v>
      </c>
      <c r="D12" s="55" t="s">
        <v>563</v>
      </c>
      <c r="E12" s="55" t="s">
        <v>61</v>
      </c>
      <c r="F12" s="55" t="s">
        <v>21</v>
      </c>
      <c r="G12" s="55" t="s">
        <v>62</v>
      </c>
      <c r="H12" s="55" t="s">
        <v>21</v>
      </c>
      <c r="I12" s="55" t="s">
        <v>30</v>
      </c>
      <c r="J12" s="67" t="s">
        <v>612</v>
      </c>
    </row>
    <row r="13">
      <c r="A13" s="55">
        <v>11.0</v>
      </c>
      <c r="B13" s="55">
        <f>vlookup(A13,Superbowls!$A$2:$B$115,2,FALSE)</f>
        <v>2019</v>
      </c>
      <c r="C13" s="55" t="s">
        <v>36</v>
      </c>
      <c r="D13" s="55" t="s">
        <v>563</v>
      </c>
      <c r="E13" s="55" t="s">
        <v>479</v>
      </c>
      <c r="F13" s="55" t="s">
        <v>177</v>
      </c>
      <c r="G13" s="55" t="s">
        <v>112</v>
      </c>
      <c r="H13" s="55" t="s">
        <v>422</v>
      </c>
      <c r="I13" s="55" t="s">
        <v>30</v>
      </c>
      <c r="J13" s="67" t="s">
        <v>617</v>
      </c>
    </row>
    <row r="14">
      <c r="A14" s="55">
        <v>12.0</v>
      </c>
      <c r="B14" s="55">
        <f>vlookup(A14,Superbowls!$A$2:$B$115,2,FALSE)</f>
        <v>2020</v>
      </c>
      <c r="C14" s="55" t="s">
        <v>36</v>
      </c>
      <c r="D14" s="55" t="s">
        <v>563</v>
      </c>
      <c r="E14" s="55" t="s">
        <v>447</v>
      </c>
      <c r="F14" s="55" t="s">
        <v>448</v>
      </c>
      <c r="G14" s="55" t="s">
        <v>101</v>
      </c>
      <c r="H14" s="55" t="s">
        <v>484</v>
      </c>
      <c r="I14" s="55" t="s">
        <v>30</v>
      </c>
      <c r="J14" s="67" t="s">
        <v>639</v>
      </c>
    </row>
    <row r="15">
      <c r="A15" s="55">
        <v>13.0</v>
      </c>
      <c r="B15" s="55">
        <f>vlookup(A15,Superbowls!$A$2:$B$115,2,FALSE)</f>
        <v>2021</v>
      </c>
      <c r="C15" s="55" t="s">
        <v>36</v>
      </c>
      <c r="D15" s="55" t="s">
        <v>563</v>
      </c>
      <c r="E15" s="55" t="s">
        <v>23</v>
      </c>
      <c r="F15" s="55" t="s">
        <v>25</v>
      </c>
      <c r="G15" s="55" t="s">
        <v>29</v>
      </c>
      <c r="H15" s="55" t="s">
        <v>21</v>
      </c>
      <c r="I15" s="55" t="s">
        <v>71</v>
      </c>
      <c r="J15" s="67" t="s">
        <v>668</v>
      </c>
    </row>
    <row r="16">
      <c r="A16" s="55">
        <v>14.0</v>
      </c>
      <c r="B16" s="55">
        <f>vlookup(A16,Superbowls!$A$2:$B$115,2,FALSE)</f>
        <v>2022</v>
      </c>
      <c r="C16" s="55" t="s">
        <v>36</v>
      </c>
      <c r="D16" s="55" t="s">
        <v>563</v>
      </c>
      <c r="E16" s="55" t="s">
        <v>136</v>
      </c>
      <c r="F16" s="55" t="s">
        <v>137</v>
      </c>
      <c r="G16" s="55" t="s">
        <v>107</v>
      </c>
      <c r="H16" s="55" t="s">
        <v>22</v>
      </c>
      <c r="I16" s="55" t="s">
        <v>30</v>
      </c>
      <c r="J16" s="67" t="s">
        <v>691</v>
      </c>
    </row>
    <row r="17">
      <c r="A17" s="55">
        <v>15.0</v>
      </c>
      <c r="B17" s="55">
        <f>vlookup(A17,Superbowls!$A$2:$B$115,2,FALSE)</f>
        <v>2023</v>
      </c>
      <c r="C17" s="55" t="s">
        <v>36</v>
      </c>
      <c r="D17" s="55" t="s">
        <v>563</v>
      </c>
      <c r="E17" s="55" t="s">
        <v>45</v>
      </c>
      <c r="F17" s="55" t="s">
        <v>46</v>
      </c>
      <c r="G17" s="55" t="s">
        <v>47</v>
      </c>
      <c r="H17" s="55" t="s">
        <v>21</v>
      </c>
      <c r="I17" s="55" t="s">
        <v>42</v>
      </c>
      <c r="J17" s="67" t="s">
        <v>692</v>
      </c>
    </row>
    <row r="18">
      <c r="A18" s="55">
        <v>16.0</v>
      </c>
      <c r="B18" s="55">
        <v>2024.0</v>
      </c>
      <c r="C18" s="55" t="s">
        <v>36</v>
      </c>
      <c r="D18" s="55" t="s">
        <v>563</v>
      </c>
      <c r="E18" s="55" t="s">
        <v>96</v>
      </c>
      <c r="F18" s="55" t="s">
        <v>165</v>
      </c>
      <c r="G18" s="55" t="s">
        <v>81</v>
      </c>
      <c r="H18" s="55" t="s">
        <v>22</v>
      </c>
      <c r="I18" s="55" t="s">
        <v>30</v>
      </c>
      <c r="J18" s="67" t="s">
        <v>693</v>
      </c>
    </row>
    <row r="19">
      <c r="A19" s="55">
        <v>17.0</v>
      </c>
      <c r="B19" s="55">
        <v>2025.0</v>
      </c>
      <c r="C19" s="55" t="s">
        <v>36</v>
      </c>
      <c r="D19" s="55" t="s">
        <v>563</v>
      </c>
      <c r="E19" s="55" t="s">
        <v>23</v>
      </c>
      <c r="F19" s="55" t="s">
        <v>25</v>
      </c>
      <c r="G19" s="55" t="s">
        <v>29</v>
      </c>
      <c r="H19" s="55" t="s">
        <v>21</v>
      </c>
      <c r="I19" s="55" t="s">
        <v>35</v>
      </c>
      <c r="J19" s="67" t="s">
        <v>694</v>
      </c>
    </row>
    <row r="20">
      <c r="A20" s="55">
        <v>18.0</v>
      </c>
      <c r="B20" s="55">
        <v>2025.0</v>
      </c>
      <c r="C20" s="55" t="s">
        <v>36</v>
      </c>
      <c r="D20" s="55" t="s">
        <v>563</v>
      </c>
      <c r="E20" s="55" t="s">
        <v>80</v>
      </c>
      <c r="F20" s="55" t="s">
        <v>21</v>
      </c>
      <c r="G20" s="55" t="s">
        <v>81</v>
      </c>
      <c r="H20" s="55" t="s">
        <v>21</v>
      </c>
      <c r="I20" s="55" t="s">
        <v>187</v>
      </c>
      <c r="J20" s="67" t="s">
        <v>695</v>
      </c>
    </row>
    <row r="21">
      <c r="A21" s="55">
        <v>19.0</v>
      </c>
      <c r="B21" s="55">
        <v>2025.0</v>
      </c>
      <c r="C21" s="55" t="s">
        <v>36</v>
      </c>
      <c r="D21" s="55" t="s">
        <v>563</v>
      </c>
      <c r="E21" s="55" t="s">
        <v>48</v>
      </c>
      <c r="F21" s="55" t="s">
        <v>49</v>
      </c>
      <c r="G21" s="55" t="s">
        <v>47</v>
      </c>
      <c r="H21" s="55" t="s">
        <v>22</v>
      </c>
      <c r="I21" s="55" t="s">
        <v>35</v>
      </c>
      <c r="J21" s="67" t="s">
        <v>696</v>
      </c>
    </row>
    <row r="22">
      <c r="A22" s="55">
        <v>20.0</v>
      </c>
      <c r="B22" s="55">
        <v>2025.0</v>
      </c>
      <c r="C22" s="55" t="s">
        <v>36</v>
      </c>
      <c r="D22" s="55" t="s">
        <v>563</v>
      </c>
      <c r="E22" s="55" t="s">
        <v>48</v>
      </c>
      <c r="F22" s="55" t="s">
        <v>49</v>
      </c>
      <c r="G22" s="55" t="s">
        <v>47</v>
      </c>
      <c r="H22" s="55" t="s">
        <v>22</v>
      </c>
      <c r="I22" s="55" t="s">
        <v>30</v>
      </c>
      <c r="J22" s="67" t="s">
        <v>697</v>
      </c>
    </row>
    <row r="23">
      <c r="A23" s="55">
        <v>20.0</v>
      </c>
      <c r="B23" s="55">
        <v>2025.0</v>
      </c>
      <c r="C23" s="55" t="s">
        <v>36</v>
      </c>
      <c r="D23" s="55" t="s">
        <v>698</v>
      </c>
      <c r="E23" s="55" t="s">
        <v>136</v>
      </c>
      <c r="F23" s="55" t="s">
        <v>137</v>
      </c>
      <c r="G23" s="55" t="s">
        <v>107</v>
      </c>
      <c r="H23" s="55" t="s">
        <v>22</v>
      </c>
      <c r="I23" s="55" t="s">
        <v>205</v>
      </c>
      <c r="J23" s="67" t="s">
        <v>699</v>
      </c>
    </row>
    <row r="24">
      <c r="A24" s="55">
        <v>20.0</v>
      </c>
      <c r="B24" s="55">
        <v>2025.0</v>
      </c>
      <c r="C24" s="55" t="s">
        <v>36</v>
      </c>
      <c r="D24" s="55" t="s">
        <v>700</v>
      </c>
      <c r="E24" s="55" t="s">
        <v>392</v>
      </c>
      <c r="F24" s="55" t="s">
        <v>296</v>
      </c>
      <c r="G24" s="55" t="s">
        <v>47</v>
      </c>
      <c r="H24" s="55" t="s">
        <v>513</v>
      </c>
      <c r="I24" s="55" t="s">
        <v>30</v>
      </c>
      <c r="J24" s="72" t="s">
        <v>701</v>
      </c>
    </row>
    <row r="25">
      <c r="A25" s="55">
        <v>21.0</v>
      </c>
      <c r="B25" s="55">
        <v>2026.0</v>
      </c>
      <c r="C25" s="55" t="s">
        <v>36</v>
      </c>
      <c r="D25" s="55" t="s">
        <v>563</v>
      </c>
      <c r="E25" s="55" t="s">
        <v>61</v>
      </c>
      <c r="F25" s="55" t="s">
        <v>21</v>
      </c>
      <c r="G25" s="55" t="s">
        <v>62</v>
      </c>
      <c r="H25" s="55" t="s">
        <v>21</v>
      </c>
      <c r="I25" s="55" t="s">
        <v>205</v>
      </c>
      <c r="J25" s="67" t="s">
        <v>703</v>
      </c>
    </row>
    <row r="26">
      <c r="A26" s="55">
        <v>21.0</v>
      </c>
      <c r="B26" s="55">
        <v>2026.0</v>
      </c>
      <c r="C26" s="55" t="s">
        <v>36</v>
      </c>
      <c r="D26" s="55" t="s">
        <v>698</v>
      </c>
      <c r="E26" s="55" t="s">
        <v>118</v>
      </c>
      <c r="F26" s="55" t="s">
        <v>119</v>
      </c>
      <c r="G26" s="55" t="s">
        <v>121</v>
      </c>
      <c r="H26" s="55" t="s">
        <v>22</v>
      </c>
      <c r="I26" s="55" t="s">
        <v>30</v>
      </c>
      <c r="J26" s="67" t="s">
        <v>704</v>
      </c>
    </row>
    <row r="27">
      <c r="A27" s="55">
        <v>21.0</v>
      </c>
      <c r="B27" s="55">
        <v>2026.0</v>
      </c>
      <c r="C27" s="55" t="s">
        <v>36</v>
      </c>
      <c r="D27" s="55" t="s">
        <v>700</v>
      </c>
      <c r="E27" s="55" t="s">
        <v>442</v>
      </c>
      <c r="F27" s="55" t="s">
        <v>113</v>
      </c>
      <c r="G27" s="55" t="s">
        <v>156</v>
      </c>
      <c r="H27" s="55" t="s">
        <v>422</v>
      </c>
      <c r="I27" s="55" t="s">
        <v>432</v>
      </c>
      <c r="J27" s="67" t="s">
        <v>706</v>
      </c>
    </row>
    <row r="28">
      <c r="A28" s="73"/>
      <c r="B28" s="73"/>
      <c r="C28" s="73"/>
      <c r="D28" s="73"/>
      <c r="E28" s="73"/>
      <c r="F28" s="73"/>
      <c r="G28" s="73"/>
      <c r="H28" s="73"/>
      <c r="I28" s="73"/>
      <c r="J28" s="68"/>
    </row>
    <row r="29">
      <c r="A29" s="73"/>
      <c r="B29" s="73"/>
      <c r="C29" s="73"/>
      <c r="D29" s="73"/>
      <c r="E29" s="73"/>
      <c r="F29" s="73"/>
      <c r="G29" s="73"/>
      <c r="H29" s="73"/>
      <c r="I29" s="73"/>
      <c r="J29" s="68"/>
    </row>
    <row r="30">
      <c r="A30" s="73"/>
      <c r="B30" s="73"/>
      <c r="C30" s="73"/>
      <c r="D30" s="73"/>
      <c r="E30" s="73"/>
      <c r="F30" s="73"/>
      <c r="G30" s="73"/>
      <c r="H30" s="73"/>
      <c r="I30" s="73"/>
      <c r="J30" s="68"/>
    </row>
    <row r="31">
      <c r="A31" s="73"/>
      <c r="B31" s="73"/>
      <c r="C31" s="73"/>
      <c r="D31" s="73"/>
      <c r="E31" s="73"/>
      <c r="F31" s="73"/>
      <c r="G31" s="73"/>
      <c r="H31" s="73"/>
      <c r="I31" s="73"/>
      <c r="J31" s="68"/>
    </row>
    <row r="32">
      <c r="A32" s="73"/>
      <c r="B32" s="73"/>
      <c r="C32" s="73"/>
      <c r="D32" s="73"/>
      <c r="E32" s="73"/>
      <c r="F32" s="73"/>
      <c r="G32" s="73"/>
      <c r="H32" s="73"/>
      <c r="I32" s="73"/>
      <c r="J32" s="68"/>
    </row>
    <row r="33">
      <c r="A33" s="73"/>
      <c r="B33" s="73"/>
      <c r="C33" s="73"/>
      <c r="D33" s="73"/>
      <c r="E33" s="73"/>
      <c r="F33" s="73"/>
      <c r="G33" s="73"/>
      <c r="H33" s="73"/>
      <c r="I33" s="73"/>
      <c r="J33" s="68"/>
    </row>
    <row r="34">
      <c r="A34" s="73"/>
      <c r="B34" s="73"/>
      <c r="C34" s="73"/>
      <c r="D34" s="73"/>
      <c r="E34" s="73"/>
      <c r="F34" s="73"/>
      <c r="G34" s="73"/>
      <c r="H34" s="73"/>
      <c r="I34" s="73"/>
      <c r="J34" s="68"/>
    </row>
    <row r="35">
      <c r="A35" s="73"/>
      <c r="B35" s="73"/>
      <c r="C35" s="73"/>
      <c r="D35" s="73"/>
      <c r="E35" s="73"/>
      <c r="F35" s="73"/>
      <c r="G35" s="73"/>
      <c r="H35" s="73"/>
      <c r="I35" s="73"/>
      <c r="J35" s="68"/>
    </row>
    <row r="36">
      <c r="A36" s="73"/>
      <c r="B36" s="73"/>
      <c r="C36" s="73"/>
      <c r="D36" s="73"/>
      <c r="E36" s="73"/>
      <c r="F36" s="73"/>
      <c r="G36" s="73"/>
      <c r="H36" s="73"/>
      <c r="I36" s="73"/>
      <c r="J36" s="68"/>
    </row>
    <row r="37">
      <c r="A37" s="73"/>
      <c r="B37" s="73"/>
      <c r="C37" s="73"/>
      <c r="D37" s="73"/>
      <c r="E37" s="73"/>
      <c r="F37" s="73"/>
      <c r="G37" s="73"/>
      <c r="H37" s="73"/>
      <c r="I37" s="73"/>
      <c r="J37" s="68"/>
    </row>
    <row r="38">
      <c r="A38" s="73"/>
      <c r="B38" s="73"/>
      <c r="C38" s="73"/>
      <c r="D38" s="73"/>
      <c r="E38" s="73"/>
      <c r="F38" s="73"/>
      <c r="G38" s="73"/>
      <c r="H38" s="73"/>
      <c r="I38" s="73"/>
      <c r="J38" s="68"/>
    </row>
    <row r="39">
      <c r="A39" s="73"/>
      <c r="B39" s="73"/>
      <c r="C39" s="73"/>
      <c r="D39" s="73"/>
      <c r="E39" s="73"/>
      <c r="F39" s="73"/>
      <c r="G39" s="73"/>
      <c r="H39" s="73"/>
      <c r="I39" s="73"/>
      <c r="J39" s="68"/>
    </row>
    <row r="40">
      <c r="A40" s="73"/>
      <c r="B40" s="73"/>
      <c r="C40" s="73"/>
      <c r="D40" s="73"/>
      <c r="E40" s="73"/>
      <c r="F40" s="73"/>
      <c r="G40" s="73"/>
      <c r="H40" s="73"/>
      <c r="I40" s="73"/>
      <c r="J40" s="68"/>
    </row>
    <row r="41">
      <c r="A41" s="73"/>
      <c r="B41" s="73"/>
      <c r="C41" s="73"/>
      <c r="D41" s="73"/>
      <c r="E41" s="73"/>
      <c r="F41" s="73"/>
      <c r="G41" s="73"/>
      <c r="H41" s="73"/>
      <c r="I41" s="73"/>
      <c r="J41" s="68"/>
    </row>
    <row r="42">
      <c r="A42" s="73"/>
      <c r="B42" s="73"/>
      <c r="C42" s="73"/>
      <c r="D42" s="73"/>
      <c r="E42" s="73"/>
      <c r="F42" s="73"/>
      <c r="G42" s="73"/>
      <c r="H42" s="73"/>
      <c r="I42" s="73"/>
      <c r="J42" s="68"/>
    </row>
    <row r="43">
      <c r="A43" s="73"/>
      <c r="B43" s="73"/>
      <c r="C43" s="73"/>
      <c r="D43" s="73"/>
      <c r="E43" s="73"/>
      <c r="F43" s="73"/>
      <c r="G43" s="73"/>
      <c r="H43" s="73"/>
      <c r="I43" s="73"/>
      <c r="J43" s="68"/>
    </row>
    <row r="44">
      <c r="A44" s="73"/>
      <c r="B44" s="73"/>
      <c r="C44" s="73"/>
      <c r="D44" s="73"/>
      <c r="E44" s="73"/>
      <c r="F44" s="73"/>
      <c r="G44" s="73"/>
      <c r="H44" s="73"/>
      <c r="I44" s="73"/>
      <c r="J44" s="68"/>
    </row>
    <row r="45">
      <c r="A45" s="73"/>
      <c r="B45" s="73"/>
      <c r="C45" s="73"/>
      <c r="D45" s="73"/>
      <c r="E45" s="73"/>
      <c r="F45" s="73"/>
      <c r="G45" s="73"/>
      <c r="H45" s="73"/>
      <c r="I45" s="73"/>
      <c r="J45" s="68"/>
    </row>
    <row r="46">
      <c r="A46" s="73"/>
      <c r="B46" s="73"/>
      <c r="C46" s="73"/>
      <c r="D46" s="73"/>
      <c r="E46" s="73"/>
      <c r="F46" s="73"/>
      <c r="G46" s="73"/>
      <c r="H46" s="73"/>
      <c r="I46" s="73"/>
      <c r="J46" s="68"/>
    </row>
    <row r="47">
      <c r="A47" s="73"/>
      <c r="B47" s="73"/>
      <c r="C47" s="73"/>
      <c r="D47" s="73"/>
      <c r="E47" s="73"/>
      <c r="F47" s="73"/>
      <c r="G47" s="73"/>
      <c r="H47" s="73"/>
      <c r="I47" s="73"/>
      <c r="J47" s="68"/>
    </row>
    <row r="48">
      <c r="A48" s="73"/>
      <c r="B48" s="73"/>
      <c r="C48" s="73"/>
      <c r="D48" s="73"/>
      <c r="E48" s="73"/>
      <c r="F48" s="73"/>
      <c r="G48" s="73"/>
      <c r="H48" s="73"/>
      <c r="I48" s="73"/>
      <c r="J48" s="68"/>
    </row>
    <row r="49">
      <c r="A49" s="73"/>
      <c r="B49" s="73"/>
      <c r="C49" s="73"/>
      <c r="D49" s="73"/>
      <c r="E49" s="73"/>
      <c r="F49" s="73"/>
      <c r="G49" s="73"/>
      <c r="H49" s="73"/>
      <c r="I49" s="73"/>
      <c r="J49" s="68"/>
    </row>
    <row r="50">
      <c r="A50" s="73"/>
      <c r="B50" s="73"/>
      <c r="C50" s="73"/>
      <c r="D50" s="73"/>
      <c r="E50" s="73"/>
      <c r="F50" s="73"/>
      <c r="G50" s="73"/>
      <c r="H50" s="73"/>
      <c r="I50" s="73"/>
      <c r="J50" s="68"/>
    </row>
    <row r="51">
      <c r="A51" s="73"/>
      <c r="B51" s="73"/>
      <c r="C51" s="73"/>
      <c r="D51" s="73"/>
      <c r="E51" s="73"/>
      <c r="F51" s="73"/>
      <c r="G51" s="73"/>
      <c r="H51" s="73"/>
      <c r="I51" s="73"/>
      <c r="J51" s="68"/>
    </row>
    <row r="52">
      <c r="A52" s="73"/>
      <c r="B52" s="73"/>
      <c r="C52" s="73"/>
      <c r="D52" s="73"/>
      <c r="E52" s="73"/>
      <c r="F52" s="73"/>
      <c r="G52" s="73"/>
      <c r="H52" s="73"/>
      <c r="I52" s="73"/>
      <c r="J52" s="68"/>
    </row>
    <row r="53">
      <c r="A53" s="73"/>
      <c r="B53" s="73"/>
      <c r="C53" s="73"/>
      <c r="D53" s="73"/>
      <c r="E53" s="73"/>
      <c r="F53" s="73"/>
      <c r="G53" s="73"/>
      <c r="H53" s="73"/>
      <c r="I53" s="73"/>
      <c r="J53" s="68"/>
    </row>
    <row r="54">
      <c r="A54" s="73"/>
      <c r="B54" s="73"/>
      <c r="C54" s="73"/>
      <c r="D54" s="73"/>
      <c r="E54" s="73"/>
      <c r="F54" s="73"/>
      <c r="G54" s="73"/>
      <c r="H54" s="73"/>
      <c r="I54" s="73"/>
      <c r="J54" s="68"/>
    </row>
    <row r="55">
      <c r="A55" s="73"/>
      <c r="B55" s="73"/>
      <c r="C55" s="73"/>
      <c r="D55" s="73"/>
      <c r="E55" s="73"/>
      <c r="F55" s="73"/>
      <c r="G55" s="73"/>
      <c r="H55" s="73"/>
      <c r="I55" s="73"/>
      <c r="J55" s="68"/>
    </row>
    <row r="56">
      <c r="A56" s="73"/>
      <c r="B56" s="73"/>
      <c r="C56" s="73"/>
      <c r="D56" s="73"/>
      <c r="E56" s="73"/>
      <c r="F56" s="73"/>
      <c r="G56" s="73"/>
      <c r="H56" s="73"/>
      <c r="I56" s="73"/>
      <c r="J56" s="68"/>
    </row>
    <row r="57">
      <c r="A57" s="73"/>
      <c r="B57" s="73"/>
      <c r="C57" s="73"/>
      <c r="D57" s="73"/>
      <c r="E57" s="73"/>
      <c r="F57" s="73"/>
      <c r="G57" s="73"/>
      <c r="H57" s="73"/>
      <c r="I57" s="73"/>
      <c r="J57" s="68"/>
    </row>
  </sheetData>
  <autoFilter ref="$A$2:$J$57"/>
  <mergeCells count="1">
    <mergeCell ref="A1:J1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2.75"/>
  <cols>
    <col customWidth="1" min="1" max="1" width="11.25"/>
    <col customWidth="1" min="2" max="2" width="7.0"/>
    <col customWidth="1" min="3" max="3" width="7.13"/>
    <col customWidth="1" min="4" max="4" width="6.38"/>
    <col customWidth="1" min="5" max="5" width="6.5"/>
    <col customWidth="1" min="6" max="6" width="11.0"/>
    <col customWidth="1" min="7" max="7" width="11.13"/>
    <col customWidth="1" min="8" max="9" width="10.38"/>
    <col customWidth="1" min="10" max="10" width="14.75"/>
    <col customWidth="1" min="11" max="11" width="11.63"/>
    <col customWidth="1" min="12" max="12" width="14.5"/>
    <col customWidth="1" min="13" max="13" width="57.25"/>
  </cols>
  <sheetData>
    <row r="1" ht="30.75" customHeight="1">
      <c r="A1" s="54" t="s">
        <v>561</v>
      </c>
    </row>
    <row r="2" ht="15.0" customHeight="1">
      <c r="A2" s="56" t="s">
        <v>18</v>
      </c>
      <c r="B2" s="11" t="s">
        <v>19</v>
      </c>
      <c r="C2" s="11" t="s">
        <v>20</v>
      </c>
      <c r="D2" s="56" t="s">
        <v>564</v>
      </c>
      <c r="E2" s="56" t="s">
        <v>565</v>
      </c>
      <c r="F2" s="57" t="s">
        <v>566</v>
      </c>
      <c r="G2" s="58" t="s">
        <v>567</v>
      </c>
      <c r="H2" s="56" t="s">
        <v>569</v>
      </c>
      <c r="I2" s="56" t="s">
        <v>570</v>
      </c>
      <c r="J2" s="60" t="s">
        <v>571</v>
      </c>
      <c r="K2" s="61" t="s">
        <v>572</v>
      </c>
      <c r="L2" s="61" t="s">
        <v>573</v>
      </c>
      <c r="M2" s="61" t="s">
        <v>560</v>
      </c>
    </row>
    <row r="3" ht="15.0" customHeight="1">
      <c r="A3" s="62">
        <v>1.0</v>
      </c>
      <c r="B3" s="63">
        <v>2009.0</v>
      </c>
      <c r="C3" s="63" t="s">
        <v>36</v>
      </c>
      <c r="D3" s="62" t="s">
        <v>29</v>
      </c>
      <c r="E3" s="62" t="s">
        <v>41</v>
      </c>
      <c r="F3" s="64">
        <v>20.0</v>
      </c>
      <c r="G3" s="65">
        <v>14.0</v>
      </c>
      <c r="H3" s="62" t="s">
        <v>30</v>
      </c>
      <c r="I3" s="62" t="s">
        <v>42</v>
      </c>
      <c r="J3" s="66">
        <f t="shared" ref="J3:J11" si="1">ABS(F3-G3)</f>
        <v>6</v>
      </c>
      <c r="K3" s="67" t="s">
        <v>574</v>
      </c>
      <c r="L3" s="67" t="s">
        <v>575</v>
      </c>
      <c r="M3" s="68"/>
    </row>
    <row r="4" ht="15.0" customHeight="1">
      <c r="A4" s="62">
        <v>2.0</v>
      </c>
      <c r="B4" s="63">
        <v>2009.0</v>
      </c>
      <c r="C4" s="63" t="s">
        <v>36</v>
      </c>
      <c r="D4" s="62" t="s">
        <v>54</v>
      </c>
      <c r="E4" s="62" t="s">
        <v>156</v>
      </c>
      <c r="F4" s="64">
        <v>42.0</v>
      </c>
      <c r="G4" s="65">
        <v>28.0</v>
      </c>
      <c r="H4" s="62" t="s">
        <v>42</v>
      </c>
      <c r="I4" s="62" t="s">
        <v>432</v>
      </c>
      <c r="J4" s="66">
        <f t="shared" si="1"/>
        <v>14</v>
      </c>
      <c r="K4" s="67" t="s">
        <v>574</v>
      </c>
      <c r="L4" s="67" t="s">
        <v>575</v>
      </c>
      <c r="M4" s="68"/>
    </row>
    <row r="5" ht="15.0" customHeight="1">
      <c r="A5" s="62">
        <v>3.0</v>
      </c>
      <c r="B5" s="63">
        <v>2009.0</v>
      </c>
      <c r="C5" s="63" t="s">
        <v>36</v>
      </c>
      <c r="D5" s="62" t="s">
        <v>57</v>
      </c>
      <c r="E5" s="62" t="s">
        <v>60</v>
      </c>
      <c r="F5" s="64">
        <v>7.0</v>
      </c>
      <c r="G5" s="65">
        <v>21.0</v>
      </c>
      <c r="H5" s="62" t="s">
        <v>42</v>
      </c>
      <c r="I5" s="62" t="s">
        <v>30</v>
      </c>
      <c r="J5" s="66">
        <f t="shared" si="1"/>
        <v>14</v>
      </c>
      <c r="K5" s="67" t="s">
        <v>574</v>
      </c>
      <c r="L5" s="67" t="s">
        <v>575</v>
      </c>
      <c r="M5" s="67"/>
    </row>
    <row r="6" ht="15.0" customHeight="1">
      <c r="A6" s="62">
        <v>4.0</v>
      </c>
      <c r="B6" s="63">
        <v>2009.0</v>
      </c>
      <c r="C6" s="63" t="s">
        <v>36</v>
      </c>
      <c r="D6" s="62" t="s">
        <v>54</v>
      </c>
      <c r="E6" s="62" t="s">
        <v>79</v>
      </c>
      <c r="F6" s="64">
        <v>14.0</v>
      </c>
      <c r="G6" s="65">
        <v>28.0</v>
      </c>
      <c r="H6" s="62" t="s">
        <v>42</v>
      </c>
      <c r="I6" s="62" t="s">
        <v>30</v>
      </c>
      <c r="J6" s="66">
        <f t="shared" si="1"/>
        <v>14</v>
      </c>
      <c r="K6" s="67" t="s">
        <v>574</v>
      </c>
      <c r="L6" s="67" t="s">
        <v>577</v>
      </c>
      <c r="M6" s="67"/>
    </row>
    <row r="7" ht="15.0" customHeight="1">
      <c r="A7" s="62">
        <v>5.0</v>
      </c>
      <c r="B7" s="63">
        <v>2010.0</v>
      </c>
      <c r="C7" s="63" t="s">
        <v>36</v>
      </c>
      <c r="D7" s="62" t="s">
        <v>81</v>
      </c>
      <c r="E7" s="62" t="s">
        <v>89</v>
      </c>
      <c r="F7" s="64">
        <v>21.0</v>
      </c>
      <c r="G7" s="65">
        <v>27.0</v>
      </c>
      <c r="H7" s="62" t="s">
        <v>63</v>
      </c>
      <c r="I7" s="62" t="s">
        <v>30</v>
      </c>
      <c r="J7" s="66">
        <f t="shared" si="1"/>
        <v>6</v>
      </c>
      <c r="K7" s="67" t="s">
        <v>578</v>
      </c>
      <c r="L7" s="67" t="s">
        <v>575</v>
      </c>
      <c r="M7" s="67" t="s">
        <v>580</v>
      </c>
    </row>
    <row r="8" ht="15.0" customHeight="1">
      <c r="A8" s="27">
        <v>6.0</v>
      </c>
      <c r="B8" s="63">
        <v>2011.0</v>
      </c>
      <c r="C8" s="63" t="s">
        <v>36</v>
      </c>
      <c r="D8" s="62" t="s">
        <v>102</v>
      </c>
      <c r="E8" s="62" t="s">
        <v>156</v>
      </c>
      <c r="F8" s="64">
        <v>10.0</v>
      </c>
      <c r="G8" s="65">
        <v>49.0</v>
      </c>
      <c r="H8" s="62" t="s">
        <v>30</v>
      </c>
      <c r="I8" s="62" t="s">
        <v>432</v>
      </c>
      <c r="J8" s="66">
        <f t="shared" si="1"/>
        <v>39</v>
      </c>
      <c r="K8" s="67" t="s">
        <v>581</v>
      </c>
      <c r="L8" s="67" t="s">
        <v>577</v>
      </c>
      <c r="M8" s="67"/>
    </row>
    <row r="9">
      <c r="A9" s="27">
        <v>7.0</v>
      </c>
      <c r="B9" s="63">
        <v>2017.0</v>
      </c>
      <c r="C9" s="63" t="s">
        <v>36</v>
      </c>
      <c r="D9" s="63" t="s">
        <v>114</v>
      </c>
      <c r="E9" s="63" t="s">
        <v>89</v>
      </c>
      <c r="F9" s="64">
        <v>14.0</v>
      </c>
      <c r="G9" s="65">
        <v>17.0</v>
      </c>
      <c r="H9" s="27" t="s">
        <v>42</v>
      </c>
      <c r="I9" s="27" t="s">
        <v>30</v>
      </c>
      <c r="J9" s="66">
        <f t="shared" si="1"/>
        <v>3</v>
      </c>
      <c r="K9" s="67" t="s">
        <v>582</v>
      </c>
      <c r="L9" s="67" t="s">
        <v>583</v>
      </c>
      <c r="M9" s="67"/>
    </row>
    <row r="10">
      <c r="A10" s="27">
        <v>8.0</v>
      </c>
      <c r="B10" s="63">
        <v>2017.0</v>
      </c>
      <c r="C10" s="63" t="s">
        <v>36</v>
      </c>
      <c r="D10" s="63" t="s">
        <v>124</v>
      </c>
      <c r="E10" s="63" t="s">
        <v>156</v>
      </c>
      <c r="F10" s="65">
        <v>28.0</v>
      </c>
      <c r="G10" s="65">
        <v>17.0</v>
      </c>
      <c r="H10" s="27" t="s">
        <v>35</v>
      </c>
      <c r="I10" s="27" t="s">
        <v>432</v>
      </c>
      <c r="J10" s="66">
        <f t="shared" si="1"/>
        <v>11</v>
      </c>
      <c r="K10" s="67" t="s">
        <v>582</v>
      </c>
      <c r="L10" s="67" t="s">
        <v>584</v>
      </c>
      <c r="M10" s="67" t="s">
        <v>585</v>
      </c>
    </row>
    <row r="11">
      <c r="A11" s="27">
        <v>9.0</v>
      </c>
      <c r="B11" s="63">
        <v>2017.0</v>
      </c>
      <c r="C11" s="63" t="s">
        <v>36</v>
      </c>
      <c r="D11" s="63" t="s">
        <v>101</v>
      </c>
      <c r="E11" s="63" t="s">
        <v>156</v>
      </c>
      <c r="F11" s="65">
        <v>34.0</v>
      </c>
      <c r="G11" s="65">
        <v>28.0</v>
      </c>
      <c r="H11" s="27" t="s">
        <v>71</v>
      </c>
      <c r="I11" s="27" t="s">
        <v>432</v>
      </c>
      <c r="J11" s="66">
        <f t="shared" si="1"/>
        <v>6</v>
      </c>
      <c r="K11" s="67" t="s">
        <v>582</v>
      </c>
      <c r="L11" s="67" t="s">
        <v>584</v>
      </c>
      <c r="M11" s="67" t="s">
        <v>580</v>
      </c>
    </row>
    <row r="12">
      <c r="A12" s="27">
        <v>10.0</v>
      </c>
      <c r="B12" s="63">
        <v>2018.0</v>
      </c>
      <c r="C12" s="63" t="s">
        <v>36</v>
      </c>
      <c r="D12" s="63" t="s">
        <v>81</v>
      </c>
      <c r="E12" s="63" t="s">
        <v>62</v>
      </c>
      <c r="F12" s="65">
        <v>17.0</v>
      </c>
      <c r="G12" s="65">
        <v>10.0</v>
      </c>
      <c r="H12" s="27" t="s">
        <v>63</v>
      </c>
      <c r="I12" s="27" t="s">
        <v>30</v>
      </c>
      <c r="J12" s="70">
        <v>7.0</v>
      </c>
      <c r="K12" s="67" t="s">
        <v>588</v>
      </c>
      <c r="L12" s="67" t="s">
        <v>575</v>
      </c>
      <c r="M12" s="67" t="s">
        <v>589</v>
      </c>
    </row>
    <row r="13">
      <c r="A13" s="27">
        <v>11.0</v>
      </c>
      <c r="B13" s="63">
        <v>2019.0</v>
      </c>
      <c r="C13" s="63" t="s">
        <v>36</v>
      </c>
      <c r="D13" s="63" t="s">
        <v>112</v>
      </c>
      <c r="E13" s="63" t="s">
        <v>78</v>
      </c>
      <c r="F13" s="65">
        <v>28.0</v>
      </c>
      <c r="G13" s="65">
        <v>7.0</v>
      </c>
      <c r="H13" s="27" t="s">
        <v>30</v>
      </c>
      <c r="I13" s="27" t="s">
        <v>432</v>
      </c>
      <c r="J13" s="71">
        <f>F13-G13</f>
        <v>21</v>
      </c>
      <c r="K13" s="67" t="s">
        <v>590</v>
      </c>
      <c r="L13" s="67" t="s">
        <v>583</v>
      </c>
      <c r="M13" s="67" t="s">
        <v>591</v>
      </c>
    </row>
    <row r="14">
      <c r="A14" s="27">
        <v>12.0</v>
      </c>
      <c r="B14" s="63">
        <v>2020.0</v>
      </c>
      <c r="C14" s="63" t="s">
        <v>36</v>
      </c>
      <c r="D14" s="63" t="s">
        <v>57</v>
      </c>
      <c r="E14" s="63" t="s">
        <v>41</v>
      </c>
      <c r="F14" s="65">
        <v>37.0</v>
      </c>
      <c r="G14" s="65">
        <v>28.0</v>
      </c>
      <c r="H14" s="27" t="s">
        <v>432</v>
      </c>
      <c r="I14" s="27" t="s">
        <v>71</v>
      </c>
      <c r="J14" s="66">
        <f t="shared" ref="J14:J23" si="2">ABS(F14-G14)</f>
        <v>9</v>
      </c>
      <c r="K14" s="67" t="s">
        <v>590</v>
      </c>
      <c r="L14" s="67" t="s">
        <v>584</v>
      </c>
      <c r="M14" s="67" t="s">
        <v>593</v>
      </c>
    </row>
    <row r="15">
      <c r="A15" s="27">
        <v>13.0</v>
      </c>
      <c r="B15" s="63">
        <v>2021.0</v>
      </c>
      <c r="C15" s="63" t="s">
        <v>36</v>
      </c>
      <c r="D15" s="63" t="s">
        <v>34</v>
      </c>
      <c r="E15" s="63" t="s">
        <v>62</v>
      </c>
      <c r="F15" s="65">
        <v>21.0</v>
      </c>
      <c r="G15" s="65">
        <v>0.0</v>
      </c>
      <c r="H15" s="27" t="s">
        <v>30</v>
      </c>
      <c r="I15" s="27" t="s">
        <v>42</v>
      </c>
      <c r="J15" s="66">
        <f t="shared" si="2"/>
        <v>21</v>
      </c>
      <c r="K15" s="67" t="s">
        <v>590</v>
      </c>
      <c r="L15" s="67" t="s">
        <v>584</v>
      </c>
      <c r="M15" s="67" t="s">
        <v>594</v>
      </c>
    </row>
    <row r="16">
      <c r="A16" s="27">
        <v>14.0</v>
      </c>
      <c r="B16" s="63">
        <v>2022.0</v>
      </c>
      <c r="C16" s="63" t="s">
        <v>36</v>
      </c>
      <c r="D16" s="63" t="s">
        <v>121</v>
      </c>
      <c r="E16" s="63" t="s">
        <v>107</v>
      </c>
      <c r="F16" s="65">
        <v>7.0</v>
      </c>
      <c r="G16" s="65">
        <v>13.0</v>
      </c>
      <c r="H16" s="27" t="s">
        <v>63</v>
      </c>
      <c r="I16" s="27" t="s">
        <v>30</v>
      </c>
      <c r="J16" s="66">
        <f t="shared" si="2"/>
        <v>6</v>
      </c>
      <c r="K16" s="67" t="s">
        <v>590</v>
      </c>
      <c r="L16" s="67" t="s">
        <v>595</v>
      </c>
      <c r="M16" s="67" t="s">
        <v>596</v>
      </c>
    </row>
    <row r="17">
      <c r="A17" s="27">
        <v>15.0</v>
      </c>
      <c r="B17" s="63">
        <v>2023.0</v>
      </c>
      <c r="C17" s="63" t="s">
        <v>36</v>
      </c>
      <c r="D17" s="63" t="s">
        <v>57</v>
      </c>
      <c r="E17" s="63" t="s">
        <v>47</v>
      </c>
      <c r="F17" s="65">
        <v>9.0</v>
      </c>
      <c r="G17" s="65">
        <v>10.0</v>
      </c>
      <c r="H17" s="27" t="s">
        <v>432</v>
      </c>
      <c r="I17" s="27" t="s">
        <v>42</v>
      </c>
      <c r="J17" s="66">
        <f t="shared" si="2"/>
        <v>1</v>
      </c>
      <c r="K17" s="67" t="s">
        <v>598</v>
      </c>
      <c r="L17" s="67" t="s">
        <v>595</v>
      </c>
      <c r="M17" s="67" t="s">
        <v>599</v>
      </c>
    </row>
    <row r="18">
      <c r="A18" s="27">
        <v>16.0</v>
      </c>
      <c r="B18" s="63">
        <v>2024.0</v>
      </c>
      <c r="C18" s="63" t="s">
        <v>36</v>
      </c>
      <c r="D18" s="63" t="s">
        <v>81</v>
      </c>
      <c r="E18" s="63" t="s">
        <v>156</v>
      </c>
      <c r="F18" s="65">
        <v>30.0</v>
      </c>
      <c r="G18" s="65">
        <v>6.0</v>
      </c>
      <c r="H18" s="27" t="s">
        <v>30</v>
      </c>
      <c r="I18" s="27" t="s">
        <v>432</v>
      </c>
      <c r="J18" s="66">
        <f t="shared" si="2"/>
        <v>24</v>
      </c>
      <c r="K18" s="67" t="s">
        <v>590</v>
      </c>
      <c r="L18" s="67" t="s">
        <v>595</v>
      </c>
      <c r="M18" s="67" t="s">
        <v>600</v>
      </c>
    </row>
    <row r="19">
      <c r="A19" s="27">
        <v>17.0</v>
      </c>
      <c r="B19" s="63">
        <v>2025.0</v>
      </c>
      <c r="C19" s="63" t="s">
        <v>36</v>
      </c>
      <c r="D19" s="63" t="s">
        <v>29</v>
      </c>
      <c r="E19" s="63" t="s">
        <v>156</v>
      </c>
      <c r="F19" s="65">
        <v>14.0</v>
      </c>
      <c r="G19" s="65">
        <v>13.0</v>
      </c>
      <c r="H19" s="27" t="s">
        <v>35</v>
      </c>
      <c r="I19" s="27" t="s">
        <v>432</v>
      </c>
      <c r="J19" s="66">
        <f t="shared" si="2"/>
        <v>1</v>
      </c>
      <c r="K19" s="67" t="s">
        <v>601</v>
      </c>
      <c r="L19" s="67" t="s">
        <v>575</v>
      </c>
      <c r="M19" s="67" t="s">
        <v>602</v>
      </c>
    </row>
    <row r="20">
      <c r="A20" s="27">
        <v>18.0</v>
      </c>
      <c r="B20" s="63">
        <v>2025.0</v>
      </c>
      <c r="C20" s="63" t="s">
        <v>36</v>
      </c>
      <c r="D20" s="63" t="s">
        <v>112</v>
      </c>
      <c r="E20" s="63" t="s">
        <v>156</v>
      </c>
      <c r="F20" s="65">
        <v>28.0</v>
      </c>
      <c r="G20" s="65">
        <v>35.0</v>
      </c>
      <c r="H20" s="27" t="s">
        <v>432</v>
      </c>
      <c r="I20" s="27" t="s">
        <v>432</v>
      </c>
      <c r="J20" s="66">
        <f t="shared" si="2"/>
        <v>7</v>
      </c>
      <c r="K20" s="67" t="s">
        <v>601</v>
      </c>
      <c r="L20" s="67" t="s">
        <v>575</v>
      </c>
      <c r="M20" s="67" t="s">
        <v>604</v>
      </c>
    </row>
    <row r="21">
      <c r="A21" s="27">
        <v>19.0</v>
      </c>
      <c r="B21" s="63">
        <v>2025.0</v>
      </c>
      <c r="C21" s="63" t="s">
        <v>36</v>
      </c>
      <c r="D21" s="63" t="s">
        <v>81</v>
      </c>
      <c r="E21" s="63" t="s">
        <v>47</v>
      </c>
      <c r="F21" s="65">
        <v>7.0</v>
      </c>
      <c r="G21" s="65">
        <v>21.0</v>
      </c>
      <c r="H21" s="27" t="s">
        <v>187</v>
      </c>
      <c r="I21" s="27" t="s">
        <v>35</v>
      </c>
      <c r="J21" s="66">
        <f t="shared" si="2"/>
        <v>14</v>
      </c>
      <c r="K21" s="67" t="s">
        <v>601</v>
      </c>
      <c r="L21" s="67" t="s">
        <v>575</v>
      </c>
      <c r="M21" s="67" t="s">
        <v>605</v>
      </c>
    </row>
    <row r="22">
      <c r="A22" s="27">
        <v>20.0</v>
      </c>
      <c r="B22" s="63">
        <v>2025.0</v>
      </c>
      <c r="C22" s="63" t="s">
        <v>36</v>
      </c>
      <c r="D22" s="63" t="s">
        <v>54</v>
      </c>
      <c r="E22" s="63" t="s">
        <v>47</v>
      </c>
      <c r="F22" s="65">
        <v>13.0</v>
      </c>
      <c r="G22" s="65">
        <v>44.0</v>
      </c>
      <c r="H22" s="27" t="s">
        <v>432</v>
      </c>
      <c r="I22" s="27" t="s">
        <v>30</v>
      </c>
      <c r="J22" s="66">
        <f t="shared" si="2"/>
        <v>31</v>
      </c>
      <c r="K22" s="67" t="s">
        <v>581</v>
      </c>
      <c r="L22" s="67" t="s">
        <v>583</v>
      </c>
      <c r="M22" s="67" t="s">
        <v>606</v>
      </c>
    </row>
    <row r="23">
      <c r="A23" s="27">
        <v>21.0</v>
      </c>
      <c r="B23" s="63">
        <v>2026.0</v>
      </c>
      <c r="C23" s="63" t="s">
        <v>36</v>
      </c>
      <c r="D23" s="63" t="s">
        <v>121</v>
      </c>
      <c r="E23" s="63" t="s">
        <v>156</v>
      </c>
      <c r="F23" s="65">
        <v>20.0</v>
      </c>
      <c r="G23" s="65">
        <v>10.0</v>
      </c>
      <c r="H23" s="27" t="s">
        <v>30</v>
      </c>
      <c r="I23" s="27" t="s">
        <v>432</v>
      </c>
      <c r="J23" s="66">
        <f t="shared" si="2"/>
        <v>10</v>
      </c>
      <c r="K23" s="67" t="s">
        <v>581</v>
      </c>
      <c r="L23" s="67" t="s">
        <v>583</v>
      </c>
      <c r="M23" s="67" t="s">
        <v>608</v>
      </c>
    </row>
    <row r="24">
      <c r="A24" s="27"/>
      <c r="B24" s="63"/>
      <c r="C24" s="63"/>
      <c r="D24" s="63"/>
      <c r="E24" s="63"/>
      <c r="F24" s="65"/>
      <c r="G24" s="65"/>
      <c r="H24" s="27"/>
      <c r="I24" s="27"/>
      <c r="J24" s="66"/>
      <c r="K24" s="67"/>
      <c r="L24" s="67"/>
      <c r="M24" s="67"/>
    </row>
    <row r="25">
      <c r="A25" s="27"/>
      <c r="B25" s="63"/>
      <c r="C25" s="63"/>
      <c r="D25" s="63"/>
      <c r="E25" s="63"/>
      <c r="F25" s="65"/>
      <c r="G25" s="65"/>
      <c r="H25" s="27"/>
      <c r="I25" s="27"/>
      <c r="J25" s="66"/>
      <c r="K25" s="67"/>
      <c r="L25" s="67"/>
      <c r="M25" s="67"/>
    </row>
    <row r="26">
      <c r="A26" s="27"/>
      <c r="B26" s="63"/>
      <c r="C26" s="63"/>
      <c r="D26" s="63"/>
      <c r="E26" s="63"/>
      <c r="F26" s="65"/>
      <c r="G26" s="65"/>
      <c r="H26" s="27"/>
      <c r="I26" s="27"/>
      <c r="J26" s="66"/>
      <c r="K26" s="67"/>
      <c r="L26" s="67"/>
      <c r="M26" s="67"/>
    </row>
    <row r="27">
      <c r="A27" s="27"/>
      <c r="B27" s="63"/>
      <c r="C27" s="63"/>
      <c r="D27" s="63"/>
      <c r="E27" s="63"/>
      <c r="F27" s="65"/>
      <c r="G27" s="65"/>
      <c r="H27" s="27"/>
      <c r="I27" s="27"/>
      <c r="J27" s="66"/>
      <c r="K27" s="67"/>
      <c r="L27" s="67"/>
      <c r="M27" s="67"/>
    </row>
    <row r="28">
      <c r="A28" s="27"/>
      <c r="B28" s="63"/>
      <c r="C28" s="63"/>
      <c r="D28" s="63"/>
      <c r="E28" s="63"/>
      <c r="F28" s="65"/>
      <c r="G28" s="65"/>
      <c r="H28" s="27"/>
      <c r="I28" s="27"/>
      <c r="J28" s="66"/>
      <c r="K28" s="67"/>
      <c r="L28" s="67"/>
      <c r="M28" s="67"/>
    </row>
    <row r="29">
      <c r="A29" s="27"/>
      <c r="B29" s="63"/>
      <c r="C29" s="63"/>
      <c r="D29" s="63"/>
      <c r="E29" s="63"/>
      <c r="F29" s="65"/>
      <c r="G29" s="65"/>
      <c r="H29" s="27"/>
      <c r="I29" s="27"/>
      <c r="J29" s="66"/>
      <c r="K29" s="67"/>
      <c r="L29" s="67"/>
      <c r="M29" s="67"/>
    </row>
    <row r="30">
      <c r="A30" s="27"/>
      <c r="B30" s="63"/>
      <c r="C30" s="63"/>
      <c r="D30" s="63"/>
      <c r="E30" s="63"/>
      <c r="F30" s="65"/>
      <c r="G30" s="65"/>
      <c r="H30" s="27"/>
      <c r="I30" s="27"/>
      <c r="J30" s="66"/>
      <c r="K30" s="67"/>
      <c r="L30" s="67"/>
      <c r="M30" s="67"/>
    </row>
    <row r="31">
      <c r="A31" s="27"/>
      <c r="B31" s="63"/>
      <c r="C31" s="63"/>
      <c r="D31" s="63"/>
      <c r="E31" s="63"/>
      <c r="F31" s="65"/>
      <c r="G31" s="65"/>
      <c r="H31" s="27"/>
      <c r="I31" s="27"/>
      <c r="J31" s="66"/>
      <c r="K31" s="67"/>
      <c r="L31" s="67"/>
      <c r="M31" s="67"/>
    </row>
    <row r="32">
      <c r="A32" s="27"/>
      <c r="B32" s="63"/>
      <c r="C32" s="63"/>
      <c r="D32" s="63"/>
      <c r="E32" s="63"/>
      <c r="F32" s="65"/>
      <c r="G32" s="65"/>
      <c r="H32" s="27"/>
      <c r="I32" s="27"/>
      <c r="J32" s="66"/>
      <c r="K32" s="67"/>
      <c r="L32" s="67"/>
      <c r="M32" s="67"/>
    </row>
  </sheetData>
  <autoFilter ref="$A$2:$M$23"/>
  <mergeCells count="1">
    <mergeCell ref="A1:M1"/>
  </mergeCells>
  <conditionalFormatting sqref="F3:G32 J3:J32">
    <cfRule type="expression" dxfId="0" priority="1">
      <formula>F3&gt;=MAX(F$3:F$111)</formula>
    </cfRule>
  </conditionalFormatting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15.13"/>
    <col customWidth="1" min="2" max="2" width="18.88"/>
  </cols>
  <sheetData>
    <row r="1">
      <c r="A1" s="28" t="s">
        <v>613</v>
      </c>
      <c r="B1" s="28" t="s">
        <v>614</v>
      </c>
      <c r="C1" s="28" t="s">
        <v>615</v>
      </c>
    </row>
    <row r="2">
      <c r="A2" s="28" t="s">
        <v>616</v>
      </c>
      <c r="B2" s="28" t="s">
        <v>618</v>
      </c>
      <c r="C2" s="28" t="s">
        <v>619</v>
      </c>
    </row>
    <row r="3">
      <c r="A3" s="28" t="s">
        <v>620</v>
      </c>
      <c r="B3" s="28" t="s">
        <v>621</v>
      </c>
      <c r="C3" s="28" t="s">
        <v>622</v>
      </c>
    </row>
    <row r="4">
      <c r="A4" s="28" t="s">
        <v>623</v>
      </c>
      <c r="B4" s="28" t="s">
        <v>621</v>
      </c>
      <c r="C4" s="28" t="s">
        <v>622</v>
      </c>
    </row>
    <row r="5">
      <c r="A5" s="28" t="s">
        <v>624</v>
      </c>
      <c r="B5" s="28" t="s">
        <v>625</v>
      </c>
      <c r="C5" s="28" t="s">
        <v>626</v>
      </c>
    </row>
    <row r="6">
      <c r="A6" s="28" t="s">
        <v>627</v>
      </c>
      <c r="B6" s="28" t="s">
        <v>628</v>
      </c>
      <c r="C6" s="28" t="s">
        <v>629</v>
      </c>
    </row>
    <row r="7">
      <c r="A7" s="28" t="s">
        <v>627</v>
      </c>
      <c r="B7" s="28" t="s">
        <v>630</v>
      </c>
      <c r="C7" s="28" t="s">
        <v>629</v>
      </c>
    </row>
    <row r="8">
      <c r="A8" s="28" t="s">
        <v>631</v>
      </c>
      <c r="B8" s="28" t="s">
        <v>632</v>
      </c>
      <c r="C8" s="28" t="s">
        <v>629</v>
      </c>
    </row>
    <row r="9">
      <c r="A9" s="28" t="s">
        <v>633</v>
      </c>
      <c r="B9" s="28" t="s">
        <v>634</v>
      </c>
      <c r="C9" s="28" t="s">
        <v>629</v>
      </c>
    </row>
    <row r="10">
      <c r="A10" s="28" t="s">
        <v>633</v>
      </c>
      <c r="B10" s="28" t="s">
        <v>635</v>
      </c>
      <c r="C10" s="28"/>
    </row>
    <row r="11">
      <c r="A11" s="28" t="s">
        <v>636</v>
      </c>
      <c r="B11" s="28" t="s">
        <v>637</v>
      </c>
      <c r="C11" s="28" t="s">
        <v>629</v>
      </c>
    </row>
    <row r="12">
      <c r="A12" s="28" t="s">
        <v>638</v>
      </c>
      <c r="B12" s="28" t="s">
        <v>640</v>
      </c>
      <c r="C12" s="28" t="s">
        <v>641</v>
      </c>
    </row>
    <row r="13">
      <c r="A13" s="28" t="s">
        <v>642</v>
      </c>
      <c r="B13" s="28" t="s">
        <v>643</v>
      </c>
      <c r="C13" s="28" t="s">
        <v>644</v>
      </c>
    </row>
    <row r="14">
      <c r="A14" s="28" t="s">
        <v>645</v>
      </c>
      <c r="B14" s="28" t="s">
        <v>646</v>
      </c>
      <c r="C14" s="28" t="s">
        <v>647</v>
      </c>
    </row>
    <row r="15">
      <c r="A15" s="28" t="s">
        <v>648</v>
      </c>
      <c r="B15" s="28" t="s">
        <v>649</v>
      </c>
      <c r="C15" s="28" t="s">
        <v>647</v>
      </c>
    </row>
    <row r="16">
      <c r="A16" s="28" t="s">
        <v>650</v>
      </c>
      <c r="B16" s="28" t="s">
        <v>651</v>
      </c>
      <c r="C16" s="28" t="s">
        <v>652</v>
      </c>
    </row>
    <row r="17">
      <c r="A17" s="28" t="s">
        <v>653</v>
      </c>
      <c r="B17" s="28" t="s">
        <v>654</v>
      </c>
      <c r="C17" s="28" t="s">
        <v>652</v>
      </c>
    </row>
    <row r="18">
      <c r="A18" s="28" t="s">
        <v>655</v>
      </c>
      <c r="B18" s="28" t="s">
        <v>656</v>
      </c>
      <c r="C18" s="28" t="s">
        <v>652</v>
      </c>
    </row>
    <row r="19">
      <c r="A19" s="28" t="s">
        <v>657</v>
      </c>
      <c r="B19" s="28" t="s">
        <v>658</v>
      </c>
      <c r="C19" s="28" t="s">
        <v>652</v>
      </c>
    </row>
    <row r="20">
      <c r="A20" s="28" t="s">
        <v>659</v>
      </c>
      <c r="B20" s="28" t="s">
        <v>660</v>
      </c>
      <c r="C20" s="28" t="s">
        <v>661</v>
      </c>
    </row>
    <row r="21">
      <c r="A21" s="28" t="s">
        <v>662</v>
      </c>
      <c r="B21" s="28" t="s">
        <v>663</v>
      </c>
      <c r="C21" s="28" t="s">
        <v>664</v>
      </c>
    </row>
    <row r="22">
      <c r="A22" s="28" t="s">
        <v>665</v>
      </c>
      <c r="B22" s="28" t="s">
        <v>666</v>
      </c>
      <c r="C22" s="28" t="s">
        <v>667</v>
      </c>
    </row>
    <row r="23">
      <c r="A23" s="28" t="s">
        <v>669</v>
      </c>
      <c r="B23" s="28" t="s">
        <v>670</v>
      </c>
      <c r="C23" s="28" t="s">
        <v>615</v>
      </c>
    </row>
    <row r="24">
      <c r="A24" s="28" t="s">
        <v>671</v>
      </c>
      <c r="B24" s="28" t="s">
        <v>672</v>
      </c>
      <c r="C24" s="28" t="s">
        <v>673</v>
      </c>
    </row>
    <row r="25">
      <c r="A25" s="28" t="s">
        <v>674</v>
      </c>
      <c r="B25" s="28" t="s">
        <v>675</v>
      </c>
      <c r="C25" s="28" t="s">
        <v>676</v>
      </c>
    </row>
    <row r="26">
      <c r="A26" s="28" t="s">
        <v>677</v>
      </c>
      <c r="B26" s="28" t="s">
        <v>678</v>
      </c>
      <c r="C26" s="28" t="s">
        <v>80</v>
      </c>
    </row>
    <row r="27">
      <c r="A27" s="28" t="s">
        <v>679</v>
      </c>
      <c r="B27" s="28" t="s">
        <v>680</v>
      </c>
      <c r="C27" s="28" t="s">
        <v>615</v>
      </c>
    </row>
    <row r="28">
      <c r="A28" s="28" t="s">
        <v>681</v>
      </c>
      <c r="B28" s="28" t="s">
        <v>682</v>
      </c>
      <c r="C28" s="28" t="s">
        <v>683</v>
      </c>
    </row>
    <row r="29">
      <c r="A29" s="28" t="s">
        <v>684</v>
      </c>
      <c r="B29" s="28" t="s">
        <v>685</v>
      </c>
      <c r="C29" s="28" t="s">
        <v>686</v>
      </c>
    </row>
    <row r="30">
      <c r="A30" s="28" t="s">
        <v>687</v>
      </c>
      <c r="B30" s="28" t="s">
        <v>688</v>
      </c>
      <c r="C30" s="28" t="s">
        <v>683</v>
      </c>
    </row>
    <row r="31">
      <c r="A31" s="28" t="s">
        <v>689</v>
      </c>
      <c r="B31" s="28" t="s">
        <v>690</v>
      </c>
      <c r="C31" s="28" t="s">
        <v>664</v>
      </c>
    </row>
  </sheetData>
  <drawing r:id="rId1"/>
</worksheet>
</file>